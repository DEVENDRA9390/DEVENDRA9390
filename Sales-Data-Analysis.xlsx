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 5420\Downloads\"/>
    </mc:Choice>
  </mc:AlternateContent>
  <bookViews>
    <workbookView xWindow="0" yWindow="0" windowWidth="19200" windowHeight="6930" activeTab="1"/>
  </bookViews>
  <sheets>
    <sheet name="9. Sales-Data-Analysis" sheetId="1" r:id="rId1"/>
    <sheet name="Sheet8" sheetId="9" r:id="rId2"/>
    <sheet name="Sheet1" sheetId="10" r:id="rId3"/>
  </sheets>
  <definedNames>
    <definedName name="Slicer_City">#N/A</definedName>
    <definedName name="Slicer_Date">#N/A</definedName>
  </definedNames>
  <calcPr calcId="162913" calcMode="manual"/>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 i="1"/>
</calcChain>
</file>

<file path=xl/sharedStrings.xml><?xml version="1.0" encoding="utf-8"?>
<sst xmlns="http://schemas.openxmlformats.org/spreadsheetml/2006/main" count="1346" uniqueCount="42">
  <si>
    <t>Order ID</t>
  </si>
  <si>
    <t>Date</t>
  </si>
  <si>
    <t>Product</t>
  </si>
  <si>
    <t>Price</t>
  </si>
  <si>
    <t>Quantity</t>
  </si>
  <si>
    <t>Purchase Type</t>
  </si>
  <si>
    <t>Payment Method</t>
  </si>
  <si>
    <t>Manager</t>
  </si>
  <si>
    <t>City</t>
  </si>
  <si>
    <t>Fries</t>
  </si>
  <si>
    <t xml:space="preserve">Online </t>
  </si>
  <si>
    <t xml:space="preserve"> Gift Card</t>
  </si>
  <si>
    <t>London</t>
  </si>
  <si>
    <t>Beverages</t>
  </si>
  <si>
    <t>Madrid</t>
  </si>
  <si>
    <t>Sides &amp; Other</t>
  </si>
  <si>
    <t xml:space="preserve">In-store </t>
  </si>
  <si>
    <t>Lisbon</t>
  </si>
  <si>
    <t>Burgers</t>
  </si>
  <si>
    <t xml:space="preserve"> Credit Card</t>
  </si>
  <si>
    <t>Walter Muller</t>
  </si>
  <si>
    <t>Berlin</t>
  </si>
  <si>
    <t>Chicken Sandwiches</t>
  </si>
  <si>
    <t>Paris</t>
  </si>
  <si>
    <t>Remy Monet</t>
  </si>
  <si>
    <t>Pablo Perez</t>
  </si>
  <si>
    <t>Joao Silva</t>
  </si>
  <si>
    <t xml:space="preserve">Drive-thru </t>
  </si>
  <si>
    <t xml:space="preserve"> Cash</t>
  </si>
  <si>
    <t>Tom Jackson</t>
  </si>
  <si>
    <t>total price</t>
  </si>
  <si>
    <t>Nov</t>
  </si>
  <si>
    <t>Dec</t>
  </si>
  <si>
    <t xml:space="preserve"> Quantity</t>
  </si>
  <si>
    <t xml:space="preserve"> total price</t>
  </si>
  <si>
    <t>total sales</t>
  </si>
  <si>
    <t>total product</t>
  </si>
  <si>
    <t>monthly sales</t>
  </si>
  <si>
    <t>payment method</t>
  </si>
  <si>
    <t>Column Labels</t>
  </si>
  <si>
    <t>manager sales</t>
  </si>
  <si>
    <t>product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</si>
</sst>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14" fontId="0" fillId="0" borderId="0" xfId="0" applyNumberFormat="1"/>
    <xf numFmtId="1" fontId="0" fillId="0" borderId="0" xfId="0" applyNumberFormat="1"/>
    <xf numFmtId="3" fontId="0" fillId="0" borderId="0" xfId="0" applyNumberFormat="1" applyAlignment="1">
      <alignment horizontal="center"/>
    </xf>
    <xf numFmtId="3" fontId="0" fillId="0" borderId="0" xfId="0" pivotButton="1" applyNumberFormat="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0">
    <dxf>
      <fill>
        <patternFill>
          <bgColor theme="2" tint="-9.9948118533890809E-2"/>
        </patternFill>
      </fill>
    </dxf>
    <dxf>
      <fill>
        <patternFill>
          <bgColor theme="2" tint="-9.9948118533890809E-2"/>
        </patternFill>
      </fill>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readingOrder="0"/>
    </dxf>
    <dxf>
      <alignment horizontal="center" readingOrder="0"/>
    </dxf>
    <dxf>
      <alignment horizontal="center"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1" formatCode="0"/>
    </dxf>
    <dxf>
      <numFmt numFmtId="1" formatCode="0"/>
    </dxf>
    <dxf>
      <numFmt numFmtId="19" formatCode="dd/mm/yyyy"/>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13</xdr:col>
      <xdr:colOff>565149</xdr:colOff>
      <xdr:row>12</xdr:row>
      <xdr:rowOff>103467</xdr:rowOff>
    </xdr:from>
    <xdr:to>
      <xdr:col>15</xdr:col>
      <xdr:colOff>601008</xdr:colOff>
      <xdr:row>20</xdr:row>
      <xdr:rowOff>141940</xdr:rowOff>
    </xdr:to>
    <mc:AlternateContent xmlns:mc="http://schemas.openxmlformats.org/markup-compatibility/2006">
      <mc:Choice xmlns:a14="http://schemas.microsoft.com/office/drawing/2010/main" Requires="a14">
        <xdr:graphicFrame macro="">
          <xdr:nvGraphicFramePr>
            <xdr:cNvPr id="4"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2234208" y="2344643"/>
              <a:ext cx="1828800" cy="1532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510987</xdr:colOff>
      <xdr:row>2</xdr:row>
      <xdr:rowOff>11952</xdr:rowOff>
    </xdr:from>
    <xdr:to>
      <xdr:col>15</xdr:col>
      <xdr:colOff>546846</xdr:colOff>
      <xdr:row>11</xdr:row>
      <xdr:rowOff>14940</xdr:rowOff>
    </xdr:to>
    <mc:AlternateContent xmlns:mc="http://schemas.openxmlformats.org/markup-compatibility/2006">
      <mc:Choice xmlns:a14="http://schemas.microsoft.com/office/drawing/2010/main" Requires="a14">
        <xdr:graphicFrame macro="">
          <xdr:nvGraphicFramePr>
            <xdr:cNvPr id="5"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180046" y="385481"/>
              <a:ext cx="1828800" cy="1683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5420" refreshedDate="46169.514396064813" createdVersion="6" refreshedVersion="6" minRefreshableVersion="3" recordCount="254">
  <cacheSource type="worksheet">
    <worksheetSource name="Table1"/>
  </cacheSource>
  <cacheFields count="11">
    <cacheField name="Order ID" numFmtId="0">
      <sharedItems containsSemiMixedTypes="0" containsString="0" containsNumber="1" containsInteger="1" minValue="10452" maxValue="10713"/>
    </cacheField>
    <cacheField name="Date" numFmtId="14">
      <sharedItems containsSemiMixedTypes="0" containsNonDate="0" containsDate="1" containsString="0" minDate="2022-11-07T00:00:00" maxDate="2022-12-30T00:00:00" count="53">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sharedItems>
      <fieldGroup par="10" base="1">
        <rangePr groupBy="days" startDate="2022-11-07T00:00:00" endDate="2022-12-30T00:00:00"/>
        <groupItems count="368">
          <s v="&lt;07-1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22"/>
        </groupItems>
      </fieldGroup>
    </cacheField>
    <cacheField name="Product" numFmtId="0">
      <sharedItems count="5">
        <s v="Fries"/>
        <s v="Beverages"/>
        <s v="Sides &amp; Other"/>
        <s v="Burgers"/>
        <s v="Chicken Sandwiches"/>
      </sharedItems>
    </cacheField>
    <cacheField name="Price" numFmtId="1">
      <sharedItems containsSemiMixedTypes="0" containsString="0" containsNumber="1" minValue="2.95" maxValue="29.05"/>
    </cacheField>
    <cacheField name="Quantity" numFmtId="1">
      <sharedItems containsSemiMixedTypes="0" containsString="0" containsNumber="1" minValue="200.4" maxValue="754.43"/>
    </cacheField>
    <cacheField name="Purchase Type" numFmtId="0">
      <sharedItems count="3">
        <s v="Online "/>
        <s v="In-store "/>
        <s v="Drive-thru "/>
      </sharedItems>
    </cacheField>
    <cacheField name="Payment Method" numFmtId="0">
      <sharedItems count="3">
        <s v=" Gift Card"/>
        <s v=" Credit Card"/>
        <s v=" Cash"/>
      </sharedItems>
    </cacheField>
    <cacheField name="City" numFmtId="0">
      <sharedItems count="5">
        <s v="London"/>
        <s v="Madrid"/>
        <s v="Lisbon"/>
        <s v="Berlin"/>
        <s v="Paris"/>
      </sharedItems>
    </cacheField>
    <cacheField name="Manager" numFmtId="0">
      <sharedItems count="5">
        <s v="Tom Jackson"/>
        <s v="Pablo Perez"/>
        <s v="Joao Silva"/>
        <s v="Walter Muller"/>
        <s v="Remy Monet"/>
      </sharedItems>
    </cacheField>
    <cacheField name="total price" numFmtId="1">
      <sharedItems containsSemiMixedTypes="0" containsString="0" containsNumber="1" minValue="999.99600000000009" maxValue="16074.434999999999"/>
    </cacheField>
    <cacheField name="Months" numFmtId="0" databaseField="0">
      <fieldGroup base="1">
        <rangePr groupBy="months" startDate="2022-11-07T00:00:00" endDate="2022-12-30T00:00:00"/>
        <groupItems count="14">
          <s v="&lt;07-11-2022"/>
          <s v="Jan"/>
          <s v="Feb"/>
          <s v="Mar"/>
          <s v="Apr"/>
          <s v="May"/>
          <s v="Jun"/>
          <s v="Jul"/>
          <s v="Aug"/>
          <s v="Sep"/>
          <s v="Oct"/>
          <s v="Nov"/>
          <s v="Dec"/>
          <s v="&gt;30-12-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4">
  <r>
    <n v="10452"/>
    <x v="0"/>
    <x v="0"/>
    <n v="3.49"/>
    <n v="573.07000000000005"/>
    <x v="0"/>
    <x v="0"/>
    <x v="0"/>
    <x v="0"/>
    <n v="2000.0143000000003"/>
  </r>
  <r>
    <n v="10453"/>
    <x v="0"/>
    <x v="1"/>
    <n v="2.95"/>
    <n v="745.76"/>
    <x v="0"/>
    <x v="0"/>
    <x v="1"/>
    <x v="1"/>
    <n v="2199.9920000000002"/>
  </r>
  <r>
    <n v="10454"/>
    <x v="0"/>
    <x v="2"/>
    <n v="4.99"/>
    <n v="200.4"/>
    <x v="1"/>
    <x v="0"/>
    <x v="2"/>
    <x v="2"/>
    <n v="999.99600000000009"/>
  </r>
  <r>
    <n v="10455"/>
    <x v="1"/>
    <x v="3"/>
    <n v="12.99"/>
    <n v="569.66999999999996"/>
    <x v="1"/>
    <x v="1"/>
    <x v="3"/>
    <x v="3"/>
    <n v="7400.0132999999996"/>
  </r>
  <r>
    <n v="10456"/>
    <x v="1"/>
    <x v="4"/>
    <n v="9.9499999999999993"/>
    <n v="201.01"/>
    <x v="1"/>
    <x v="1"/>
    <x v="3"/>
    <x v="3"/>
    <n v="2000.0494999999999"/>
  </r>
  <r>
    <n v="10457"/>
    <x v="1"/>
    <x v="0"/>
    <n v="3.49"/>
    <n v="573.07000000000005"/>
    <x v="1"/>
    <x v="1"/>
    <x v="4"/>
    <x v="4"/>
    <n v="2000.0143000000003"/>
  </r>
  <r>
    <n v="10459"/>
    <x v="1"/>
    <x v="2"/>
    <n v="4.99"/>
    <n v="200.4"/>
    <x v="1"/>
    <x v="1"/>
    <x v="3"/>
    <x v="3"/>
    <n v="999.99600000000009"/>
  </r>
  <r>
    <n v="10460"/>
    <x v="2"/>
    <x v="3"/>
    <n v="12.99"/>
    <n v="554.27"/>
    <x v="1"/>
    <x v="1"/>
    <x v="4"/>
    <x v="4"/>
    <n v="7199.9673000000003"/>
  </r>
  <r>
    <n v="10461"/>
    <x v="2"/>
    <x v="4"/>
    <n v="9.9499999999999993"/>
    <n v="201.01"/>
    <x v="1"/>
    <x v="1"/>
    <x v="4"/>
    <x v="4"/>
    <n v="2000.0494999999999"/>
  </r>
  <r>
    <n v="10462"/>
    <x v="2"/>
    <x v="0"/>
    <n v="3.49"/>
    <n v="573.07000000000005"/>
    <x v="1"/>
    <x v="1"/>
    <x v="4"/>
    <x v="4"/>
    <n v="2000.0143000000003"/>
  </r>
  <r>
    <n v="10463"/>
    <x v="2"/>
    <x v="1"/>
    <n v="2.95"/>
    <n v="677.97"/>
    <x v="1"/>
    <x v="1"/>
    <x v="4"/>
    <x v="4"/>
    <n v="2000.0115000000003"/>
  </r>
  <r>
    <n v="10464"/>
    <x v="2"/>
    <x v="2"/>
    <n v="4.99"/>
    <n v="200.4"/>
    <x v="1"/>
    <x v="1"/>
    <x v="4"/>
    <x v="4"/>
    <n v="999.99600000000009"/>
  </r>
  <r>
    <n v="10465"/>
    <x v="3"/>
    <x v="3"/>
    <n v="12.99"/>
    <n v="554.27"/>
    <x v="1"/>
    <x v="1"/>
    <x v="1"/>
    <x v="1"/>
    <n v="7199.9673000000003"/>
  </r>
  <r>
    <n v="10466"/>
    <x v="3"/>
    <x v="4"/>
    <n v="9.9499999999999993"/>
    <n v="201.01"/>
    <x v="1"/>
    <x v="1"/>
    <x v="1"/>
    <x v="1"/>
    <n v="2000.0494999999999"/>
  </r>
  <r>
    <n v="10467"/>
    <x v="3"/>
    <x v="0"/>
    <n v="3.49"/>
    <n v="573.07000000000005"/>
    <x v="1"/>
    <x v="1"/>
    <x v="1"/>
    <x v="1"/>
    <n v="2000.0143000000003"/>
  </r>
  <r>
    <n v="10468"/>
    <x v="3"/>
    <x v="1"/>
    <n v="2.95"/>
    <n v="677.97"/>
    <x v="1"/>
    <x v="1"/>
    <x v="1"/>
    <x v="1"/>
    <n v="2000.0115000000003"/>
  </r>
  <r>
    <n v="10470"/>
    <x v="4"/>
    <x v="3"/>
    <n v="12.99"/>
    <n v="554.27"/>
    <x v="1"/>
    <x v="1"/>
    <x v="1"/>
    <x v="1"/>
    <n v="7199.9673000000003"/>
  </r>
  <r>
    <n v="10471"/>
    <x v="4"/>
    <x v="4"/>
    <n v="9.9499999999999993"/>
    <n v="201.01"/>
    <x v="1"/>
    <x v="1"/>
    <x v="1"/>
    <x v="1"/>
    <n v="2000.0494999999999"/>
  </r>
  <r>
    <n v="10472"/>
    <x v="4"/>
    <x v="0"/>
    <n v="3.49"/>
    <n v="630.37"/>
    <x v="1"/>
    <x v="1"/>
    <x v="1"/>
    <x v="1"/>
    <n v="2199.9913000000001"/>
  </r>
  <r>
    <n v="10473"/>
    <x v="4"/>
    <x v="1"/>
    <n v="2.95"/>
    <n v="677.97"/>
    <x v="1"/>
    <x v="1"/>
    <x v="1"/>
    <x v="1"/>
    <n v="2000.0115000000003"/>
  </r>
  <r>
    <n v="10474"/>
    <x v="4"/>
    <x v="2"/>
    <n v="4.99"/>
    <n v="200.4"/>
    <x v="1"/>
    <x v="1"/>
    <x v="1"/>
    <x v="1"/>
    <n v="999.99600000000009"/>
  </r>
  <r>
    <n v="10475"/>
    <x v="5"/>
    <x v="3"/>
    <n v="12.99"/>
    <n v="523.48"/>
    <x v="1"/>
    <x v="1"/>
    <x v="1"/>
    <x v="1"/>
    <n v="6800.0052000000005"/>
  </r>
  <r>
    <n v="10476"/>
    <x v="5"/>
    <x v="4"/>
    <n v="9.9499999999999993"/>
    <n v="201.01"/>
    <x v="1"/>
    <x v="1"/>
    <x v="1"/>
    <x v="1"/>
    <n v="2000.0494999999999"/>
  </r>
  <r>
    <n v="10477"/>
    <x v="5"/>
    <x v="0"/>
    <n v="3.49"/>
    <n v="630.37"/>
    <x v="1"/>
    <x v="1"/>
    <x v="1"/>
    <x v="1"/>
    <n v="2199.9913000000001"/>
  </r>
  <r>
    <n v="10478"/>
    <x v="5"/>
    <x v="1"/>
    <n v="2.95"/>
    <n v="677.97"/>
    <x v="1"/>
    <x v="1"/>
    <x v="1"/>
    <x v="1"/>
    <n v="2000.0115000000003"/>
  </r>
  <r>
    <n v="10479"/>
    <x v="5"/>
    <x v="2"/>
    <n v="4.99"/>
    <n v="200.4"/>
    <x v="1"/>
    <x v="1"/>
    <x v="1"/>
    <x v="1"/>
    <n v="999.99600000000009"/>
  </r>
  <r>
    <n v="10480"/>
    <x v="6"/>
    <x v="3"/>
    <n v="12.99"/>
    <n v="508.08"/>
    <x v="1"/>
    <x v="1"/>
    <x v="1"/>
    <x v="1"/>
    <n v="6599.9592000000002"/>
  </r>
  <r>
    <n v="10481"/>
    <x v="6"/>
    <x v="4"/>
    <n v="9.9499999999999993"/>
    <n v="201.01"/>
    <x v="1"/>
    <x v="1"/>
    <x v="1"/>
    <x v="1"/>
    <n v="2000.0494999999999"/>
  </r>
  <r>
    <n v="10482"/>
    <x v="6"/>
    <x v="0"/>
    <n v="25.5"/>
    <n v="630.37"/>
    <x v="1"/>
    <x v="1"/>
    <x v="2"/>
    <x v="2"/>
    <n v="16074.434999999999"/>
  </r>
  <r>
    <n v="10486"/>
    <x v="7"/>
    <x v="4"/>
    <n v="29.05"/>
    <n v="201.01"/>
    <x v="1"/>
    <x v="1"/>
    <x v="2"/>
    <x v="2"/>
    <n v="5839.3405000000002"/>
  </r>
  <r>
    <n v="10487"/>
    <x v="7"/>
    <x v="0"/>
    <n v="3.49"/>
    <n v="630.37"/>
    <x v="1"/>
    <x v="1"/>
    <x v="2"/>
    <x v="2"/>
    <n v="2199.9913000000001"/>
  </r>
  <r>
    <n v="10488"/>
    <x v="7"/>
    <x v="1"/>
    <n v="2.95"/>
    <n v="677.97"/>
    <x v="1"/>
    <x v="1"/>
    <x v="2"/>
    <x v="2"/>
    <n v="2000.0115000000003"/>
  </r>
  <r>
    <n v="10489"/>
    <x v="7"/>
    <x v="2"/>
    <n v="4.99"/>
    <n v="200.4"/>
    <x v="1"/>
    <x v="1"/>
    <x v="1"/>
    <x v="1"/>
    <n v="999.99600000000009"/>
  </r>
  <r>
    <n v="10490"/>
    <x v="8"/>
    <x v="3"/>
    <n v="12.99"/>
    <n v="508.08"/>
    <x v="1"/>
    <x v="1"/>
    <x v="1"/>
    <x v="1"/>
    <n v="6599.9592000000002"/>
  </r>
  <r>
    <n v="10491"/>
    <x v="8"/>
    <x v="4"/>
    <n v="9.9499999999999993"/>
    <n v="201.01"/>
    <x v="1"/>
    <x v="1"/>
    <x v="1"/>
    <x v="1"/>
    <n v="2000.0494999999999"/>
  </r>
  <r>
    <n v="10492"/>
    <x v="8"/>
    <x v="0"/>
    <n v="3.49"/>
    <n v="573.07000000000005"/>
    <x v="1"/>
    <x v="1"/>
    <x v="1"/>
    <x v="1"/>
    <n v="2000.0143000000003"/>
  </r>
  <r>
    <n v="10493"/>
    <x v="8"/>
    <x v="1"/>
    <n v="2.95"/>
    <n v="677.97"/>
    <x v="1"/>
    <x v="1"/>
    <x v="1"/>
    <x v="1"/>
    <n v="2000.0115000000003"/>
  </r>
  <r>
    <n v="10494"/>
    <x v="8"/>
    <x v="2"/>
    <n v="4.99"/>
    <n v="200.4"/>
    <x v="1"/>
    <x v="1"/>
    <x v="1"/>
    <x v="1"/>
    <n v="999.99600000000009"/>
  </r>
  <r>
    <n v="10495"/>
    <x v="9"/>
    <x v="3"/>
    <n v="12.99"/>
    <n v="508.08"/>
    <x v="1"/>
    <x v="1"/>
    <x v="1"/>
    <x v="1"/>
    <n v="6599.9592000000002"/>
  </r>
  <r>
    <n v="10496"/>
    <x v="9"/>
    <x v="4"/>
    <n v="9.9499999999999993"/>
    <n v="201.01"/>
    <x v="1"/>
    <x v="1"/>
    <x v="1"/>
    <x v="1"/>
    <n v="2000.0494999999999"/>
  </r>
  <r>
    <n v="10497"/>
    <x v="9"/>
    <x v="0"/>
    <n v="3.49"/>
    <n v="573.07000000000005"/>
    <x v="1"/>
    <x v="1"/>
    <x v="1"/>
    <x v="1"/>
    <n v="2000.0143000000003"/>
  </r>
  <r>
    <n v="10498"/>
    <x v="9"/>
    <x v="1"/>
    <n v="2.95"/>
    <n v="677.97"/>
    <x v="2"/>
    <x v="1"/>
    <x v="1"/>
    <x v="1"/>
    <n v="2000.0115000000003"/>
  </r>
  <r>
    <n v="10499"/>
    <x v="9"/>
    <x v="2"/>
    <n v="4.99"/>
    <n v="200.4"/>
    <x v="2"/>
    <x v="1"/>
    <x v="1"/>
    <x v="1"/>
    <n v="999.99600000000009"/>
  </r>
  <r>
    <n v="10500"/>
    <x v="10"/>
    <x v="3"/>
    <n v="12.99"/>
    <n v="523.48"/>
    <x v="2"/>
    <x v="1"/>
    <x v="1"/>
    <x v="1"/>
    <n v="6800.0052000000005"/>
  </r>
  <r>
    <n v="10501"/>
    <x v="10"/>
    <x v="4"/>
    <n v="9.9499999999999993"/>
    <n v="201.01"/>
    <x v="2"/>
    <x v="1"/>
    <x v="1"/>
    <x v="1"/>
    <n v="2000.0494999999999"/>
  </r>
  <r>
    <n v="10502"/>
    <x v="10"/>
    <x v="0"/>
    <n v="3.49"/>
    <n v="630.37"/>
    <x v="2"/>
    <x v="1"/>
    <x v="1"/>
    <x v="1"/>
    <n v="2199.9913000000001"/>
  </r>
  <r>
    <n v="10503"/>
    <x v="10"/>
    <x v="1"/>
    <n v="2.95"/>
    <n v="677.97"/>
    <x v="2"/>
    <x v="1"/>
    <x v="1"/>
    <x v="1"/>
    <n v="2000.0115000000003"/>
  </r>
  <r>
    <n v="10504"/>
    <x v="10"/>
    <x v="2"/>
    <n v="4.99"/>
    <n v="200.4"/>
    <x v="2"/>
    <x v="1"/>
    <x v="1"/>
    <x v="1"/>
    <n v="999.99600000000009"/>
  </r>
  <r>
    <n v="10505"/>
    <x v="11"/>
    <x v="3"/>
    <n v="12.99"/>
    <n v="538.88"/>
    <x v="2"/>
    <x v="1"/>
    <x v="1"/>
    <x v="1"/>
    <n v="7000.0511999999999"/>
  </r>
  <r>
    <n v="10506"/>
    <x v="11"/>
    <x v="4"/>
    <n v="9.9499999999999993"/>
    <n v="201.01"/>
    <x v="2"/>
    <x v="1"/>
    <x v="1"/>
    <x v="1"/>
    <n v="2000.0494999999999"/>
  </r>
  <r>
    <n v="10507"/>
    <x v="11"/>
    <x v="0"/>
    <n v="3.49"/>
    <n v="687.68"/>
    <x v="2"/>
    <x v="1"/>
    <x v="1"/>
    <x v="1"/>
    <n v="2400.0032000000001"/>
  </r>
  <r>
    <n v="10508"/>
    <x v="11"/>
    <x v="1"/>
    <n v="2.95"/>
    <n v="677.97"/>
    <x v="2"/>
    <x v="1"/>
    <x v="1"/>
    <x v="1"/>
    <n v="2000.0115000000003"/>
  </r>
  <r>
    <n v="10509"/>
    <x v="11"/>
    <x v="2"/>
    <n v="4.99"/>
    <n v="200.4"/>
    <x v="2"/>
    <x v="1"/>
    <x v="1"/>
    <x v="1"/>
    <n v="999.99600000000009"/>
  </r>
  <r>
    <n v="10510"/>
    <x v="12"/>
    <x v="3"/>
    <n v="12.99"/>
    <n v="508.08"/>
    <x v="2"/>
    <x v="1"/>
    <x v="1"/>
    <x v="1"/>
    <n v="6599.9592000000002"/>
  </r>
  <r>
    <n v="10511"/>
    <x v="12"/>
    <x v="4"/>
    <n v="9.9499999999999993"/>
    <n v="201.01"/>
    <x v="2"/>
    <x v="1"/>
    <x v="2"/>
    <x v="2"/>
    <n v="2000.0494999999999"/>
  </r>
  <r>
    <n v="10512"/>
    <x v="12"/>
    <x v="0"/>
    <n v="3.49"/>
    <n v="687.68"/>
    <x v="2"/>
    <x v="1"/>
    <x v="2"/>
    <x v="2"/>
    <n v="2400.0032000000001"/>
  </r>
  <r>
    <n v="10513"/>
    <x v="12"/>
    <x v="1"/>
    <n v="2.95"/>
    <n v="677.97"/>
    <x v="2"/>
    <x v="2"/>
    <x v="2"/>
    <x v="2"/>
    <n v="2000.0115000000003"/>
  </r>
  <r>
    <n v="10514"/>
    <x v="12"/>
    <x v="2"/>
    <n v="4.99"/>
    <n v="200.4"/>
    <x v="2"/>
    <x v="2"/>
    <x v="2"/>
    <x v="2"/>
    <n v="999.99600000000009"/>
  </r>
  <r>
    <n v="10515"/>
    <x v="13"/>
    <x v="3"/>
    <n v="12.99"/>
    <n v="477.29"/>
    <x v="2"/>
    <x v="2"/>
    <x v="2"/>
    <x v="2"/>
    <n v="6199.9971000000005"/>
  </r>
  <r>
    <n v="10516"/>
    <x v="13"/>
    <x v="4"/>
    <n v="9.9499999999999993"/>
    <n v="201.01"/>
    <x v="2"/>
    <x v="2"/>
    <x v="2"/>
    <x v="2"/>
    <n v="2000.0494999999999"/>
  </r>
  <r>
    <n v="10483"/>
    <x v="6"/>
    <x v="1"/>
    <n v="2.95"/>
    <n v="677.97"/>
    <x v="1"/>
    <x v="1"/>
    <x v="2"/>
    <x v="2"/>
    <n v="2000.0115000000003"/>
  </r>
  <r>
    <n v="10484"/>
    <x v="6"/>
    <x v="2"/>
    <n v="4.99"/>
    <n v="200.4"/>
    <x v="1"/>
    <x v="1"/>
    <x v="2"/>
    <x v="2"/>
    <n v="999.99600000000009"/>
  </r>
  <r>
    <n v="10485"/>
    <x v="7"/>
    <x v="3"/>
    <n v="12.99"/>
    <n v="523.48"/>
    <x v="1"/>
    <x v="1"/>
    <x v="2"/>
    <x v="2"/>
    <n v="6800.0052000000005"/>
  </r>
  <r>
    <n v="10520"/>
    <x v="14"/>
    <x v="3"/>
    <n v="12.99"/>
    <n v="492.69"/>
    <x v="2"/>
    <x v="2"/>
    <x v="4"/>
    <x v="4"/>
    <n v="6400.0430999999999"/>
  </r>
  <r>
    <n v="10521"/>
    <x v="14"/>
    <x v="4"/>
    <n v="9.9499999999999993"/>
    <n v="201.01"/>
    <x v="2"/>
    <x v="2"/>
    <x v="4"/>
    <x v="4"/>
    <n v="2000.0494999999999"/>
  </r>
  <r>
    <n v="10522"/>
    <x v="14"/>
    <x v="0"/>
    <n v="3.49"/>
    <n v="687.68"/>
    <x v="2"/>
    <x v="2"/>
    <x v="4"/>
    <x v="4"/>
    <n v="2400.0032000000001"/>
  </r>
  <r>
    <n v="10523"/>
    <x v="14"/>
    <x v="1"/>
    <n v="2.95"/>
    <n v="745.76"/>
    <x v="2"/>
    <x v="2"/>
    <x v="4"/>
    <x v="4"/>
    <n v="2199.9920000000002"/>
  </r>
  <r>
    <n v="10524"/>
    <x v="14"/>
    <x v="2"/>
    <n v="4.99"/>
    <n v="200.4"/>
    <x v="2"/>
    <x v="2"/>
    <x v="4"/>
    <x v="4"/>
    <n v="999.99600000000009"/>
  </r>
  <r>
    <n v="10525"/>
    <x v="15"/>
    <x v="3"/>
    <n v="12.99"/>
    <n v="461.89"/>
    <x v="2"/>
    <x v="2"/>
    <x v="4"/>
    <x v="4"/>
    <n v="5999.9511000000002"/>
  </r>
  <r>
    <n v="10526"/>
    <x v="15"/>
    <x v="4"/>
    <n v="9.9499999999999993"/>
    <n v="201.01"/>
    <x v="2"/>
    <x v="2"/>
    <x v="4"/>
    <x v="4"/>
    <n v="2000.0494999999999"/>
  </r>
  <r>
    <n v="10527"/>
    <x v="15"/>
    <x v="0"/>
    <n v="3.49"/>
    <n v="687.68"/>
    <x v="2"/>
    <x v="2"/>
    <x v="4"/>
    <x v="4"/>
    <n v="2400.0032000000001"/>
  </r>
  <r>
    <n v="10528"/>
    <x v="15"/>
    <x v="1"/>
    <n v="2.95"/>
    <n v="745.76"/>
    <x v="2"/>
    <x v="2"/>
    <x v="4"/>
    <x v="4"/>
    <n v="2199.9920000000002"/>
  </r>
  <r>
    <n v="10529"/>
    <x v="15"/>
    <x v="2"/>
    <n v="4.99"/>
    <n v="200.4"/>
    <x v="2"/>
    <x v="2"/>
    <x v="4"/>
    <x v="4"/>
    <n v="999.99600000000009"/>
  </r>
  <r>
    <n v="10530"/>
    <x v="16"/>
    <x v="3"/>
    <n v="12.99"/>
    <n v="477.29"/>
    <x v="2"/>
    <x v="2"/>
    <x v="4"/>
    <x v="4"/>
    <n v="6199.9971000000005"/>
  </r>
  <r>
    <n v="10531"/>
    <x v="16"/>
    <x v="4"/>
    <n v="9.9499999999999993"/>
    <n v="201.01"/>
    <x v="2"/>
    <x v="2"/>
    <x v="4"/>
    <x v="4"/>
    <n v="2000.0494999999999"/>
  </r>
  <r>
    <n v="10532"/>
    <x v="16"/>
    <x v="0"/>
    <n v="3.49"/>
    <n v="687.68"/>
    <x v="2"/>
    <x v="2"/>
    <x v="2"/>
    <x v="2"/>
    <n v="2400.0032000000001"/>
  </r>
  <r>
    <n v="10533"/>
    <x v="16"/>
    <x v="1"/>
    <n v="2.95"/>
    <n v="745.76"/>
    <x v="2"/>
    <x v="2"/>
    <x v="2"/>
    <x v="2"/>
    <n v="2199.9920000000002"/>
  </r>
  <r>
    <n v="10534"/>
    <x v="16"/>
    <x v="2"/>
    <n v="4.99"/>
    <n v="200.4"/>
    <x v="2"/>
    <x v="2"/>
    <x v="1"/>
    <x v="1"/>
    <n v="999.99600000000009"/>
  </r>
  <r>
    <n v="10535"/>
    <x v="17"/>
    <x v="3"/>
    <n v="12.99"/>
    <n v="477.29"/>
    <x v="2"/>
    <x v="1"/>
    <x v="1"/>
    <x v="1"/>
    <n v="6199.9971000000005"/>
  </r>
  <r>
    <n v="10536"/>
    <x v="17"/>
    <x v="4"/>
    <n v="9.9499999999999993"/>
    <n v="201.01"/>
    <x v="2"/>
    <x v="1"/>
    <x v="1"/>
    <x v="1"/>
    <n v="2000.0494999999999"/>
  </r>
  <r>
    <n v="10540"/>
    <x v="18"/>
    <x v="3"/>
    <n v="12.99"/>
    <n v="461.89"/>
    <x v="2"/>
    <x v="1"/>
    <x v="1"/>
    <x v="1"/>
    <n v="5999.9511000000002"/>
  </r>
  <r>
    <n v="10541"/>
    <x v="18"/>
    <x v="4"/>
    <n v="9.9499999999999993"/>
    <n v="201.01"/>
    <x v="2"/>
    <x v="1"/>
    <x v="0"/>
    <x v="0"/>
    <n v="2000.0494999999999"/>
  </r>
  <r>
    <n v="10542"/>
    <x v="18"/>
    <x v="0"/>
    <n v="3.49"/>
    <n v="630.37"/>
    <x v="2"/>
    <x v="1"/>
    <x v="0"/>
    <x v="0"/>
    <n v="2199.9913000000001"/>
  </r>
  <r>
    <n v="10543"/>
    <x v="18"/>
    <x v="1"/>
    <n v="2.95"/>
    <n v="745.76"/>
    <x v="2"/>
    <x v="1"/>
    <x v="0"/>
    <x v="0"/>
    <n v="2199.9920000000002"/>
  </r>
  <r>
    <n v="10544"/>
    <x v="18"/>
    <x v="2"/>
    <n v="4.99"/>
    <n v="200.4"/>
    <x v="2"/>
    <x v="1"/>
    <x v="0"/>
    <x v="0"/>
    <n v="999.99600000000009"/>
  </r>
  <r>
    <n v="10545"/>
    <x v="19"/>
    <x v="3"/>
    <n v="12.99"/>
    <n v="446.5"/>
    <x v="2"/>
    <x v="1"/>
    <x v="0"/>
    <x v="0"/>
    <n v="5800.0349999999999"/>
  </r>
  <r>
    <n v="10546"/>
    <x v="19"/>
    <x v="4"/>
    <n v="9.9499999999999993"/>
    <n v="201.01"/>
    <x v="2"/>
    <x v="1"/>
    <x v="0"/>
    <x v="0"/>
    <n v="2000.0494999999999"/>
  </r>
  <r>
    <n v="10547"/>
    <x v="19"/>
    <x v="0"/>
    <n v="3.49"/>
    <n v="630.37"/>
    <x v="2"/>
    <x v="1"/>
    <x v="0"/>
    <x v="0"/>
    <n v="2199.9913000000001"/>
  </r>
  <r>
    <n v="10548"/>
    <x v="19"/>
    <x v="1"/>
    <n v="2.95"/>
    <n v="745.76"/>
    <x v="2"/>
    <x v="1"/>
    <x v="0"/>
    <x v="0"/>
    <n v="2199.9920000000002"/>
  </r>
  <r>
    <n v="10549"/>
    <x v="19"/>
    <x v="2"/>
    <n v="4.99"/>
    <n v="200.4"/>
    <x v="2"/>
    <x v="1"/>
    <x v="0"/>
    <x v="0"/>
    <n v="999.99600000000009"/>
  </r>
  <r>
    <n v="10550"/>
    <x v="20"/>
    <x v="3"/>
    <n v="12.99"/>
    <n v="461.89"/>
    <x v="2"/>
    <x v="1"/>
    <x v="0"/>
    <x v="0"/>
    <n v="5999.9511000000002"/>
  </r>
  <r>
    <n v="10551"/>
    <x v="20"/>
    <x v="4"/>
    <n v="9.9499999999999993"/>
    <n v="201.01"/>
    <x v="2"/>
    <x v="1"/>
    <x v="0"/>
    <x v="0"/>
    <n v="2000.0494999999999"/>
  </r>
  <r>
    <n v="10552"/>
    <x v="20"/>
    <x v="0"/>
    <n v="3.49"/>
    <n v="630.37"/>
    <x v="0"/>
    <x v="1"/>
    <x v="0"/>
    <x v="0"/>
    <n v="2199.9913000000001"/>
  </r>
  <r>
    <n v="10553"/>
    <x v="20"/>
    <x v="1"/>
    <n v="2.95"/>
    <n v="745.76"/>
    <x v="0"/>
    <x v="1"/>
    <x v="0"/>
    <x v="0"/>
    <n v="2199.9920000000002"/>
  </r>
  <r>
    <n v="10554"/>
    <x v="20"/>
    <x v="2"/>
    <n v="4.99"/>
    <n v="200.4"/>
    <x v="0"/>
    <x v="1"/>
    <x v="0"/>
    <x v="0"/>
    <n v="999.99600000000009"/>
  </r>
  <r>
    <n v="10555"/>
    <x v="21"/>
    <x v="3"/>
    <n v="12.99"/>
    <n v="477.29"/>
    <x v="0"/>
    <x v="1"/>
    <x v="0"/>
    <x v="0"/>
    <n v="6199.9971000000005"/>
  </r>
  <r>
    <n v="10556"/>
    <x v="21"/>
    <x v="4"/>
    <n v="9.9499999999999993"/>
    <n v="201.01"/>
    <x v="0"/>
    <x v="1"/>
    <x v="0"/>
    <x v="0"/>
    <n v="2000.0494999999999"/>
  </r>
  <r>
    <n v="10557"/>
    <x v="21"/>
    <x v="0"/>
    <n v="3.49"/>
    <n v="630.37"/>
    <x v="0"/>
    <x v="1"/>
    <x v="0"/>
    <x v="0"/>
    <n v="2199.9913000000001"/>
  </r>
  <r>
    <n v="10558"/>
    <x v="21"/>
    <x v="1"/>
    <n v="2.95"/>
    <n v="677.97"/>
    <x v="0"/>
    <x v="1"/>
    <x v="0"/>
    <x v="0"/>
    <n v="2000.0115000000003"/>
  </r>
  <r>
    <n v="10559"/>
    <x v="21"/>
    <x v="2"/>
    <n v="4.99"/>
    <n v="200.4"/>
    <x v="0"/>
    <x v="1"/>
    <x v="0"/>
    <x v="0"/>
    <n v="999.99600000000009"/>
  </r>
  <r>
    <n v="10560"/>
    <x v="22"/>
    <x v="3"/>
    <n v="12.99"/>
    <n v="477.29"/>
    <x v="0"/>
    <x v="1"/>
    <x v="0"/>
    <x v="0"/>
    <n v="6199.9971000000005"/>
  </r>
  <r>
    <n v="10561"/>
    <x v="22"/>
    <x v="4"/>
    <n v="9.9499999999999993"/>
    <n v="201.01"/>
    <x v="0"/>
    <x v="1"/>
    <x v="0"/>
    <x v="0"/>
    <n v="2000.0494999999999"/>
  </r>
  <r>
    <n v="10562"/>
    <x v="22"/>
    <x v="0"/>
    <n v="3.49"/>
    <n v="630.37"/>
    <x v="0"/>
    <x v="1"/>
    <x v="0"/>
    <x v="0"/>
    <n v="2199.9913000000001"/>
  </r>
  <r>
    <n v="10563"/>
    <x v="22"/>
    <x v="1"/>
    <n v="2.95"/>
    <n v="677.97"/>
    <x v="0"/>
    <x v="1"/>
    <x v="0"/>
    <x v="0"/>
    <n v="2000.0115000000003"/>
  </r>
  <r>
    <n v="10564"/>
    <x v="22"/>
    <x v="2"/>
    <n v="4.99"/>
    <n v="200.4"/>
    <x v="0"/>
    <x v="1"/>
    <x v="0"/>
    <x v="0"/>
    <n v="999.99600000000009"/>
  </r>
  <r>
    <n v="10565"/>
    <x v="23"/>
    <x v="3"/>
    <n v="12.99"/>
    <n v="492.69"/>
    <x v="0"/>
    <x v="1"/>
    <x v="0"/>
    <x v="0"/>
    <n v="6400.0430999999999"/>
  </r>
  <r>
    <n v="10566"/>
    <x v="23"/>
    <x v="4"/>
    <n v="9.9499999999999993"/>
    <n v="201.01"/>
    <x v="0"/>
    <x v="1"/>
    <x v="0"/>
    <x v="0"/>
    <n v="2000.0494999999999"/>
  </r>
  <r>
    <n v="10567"/>
    <x v="23"/>
    <x v="0"/>
    <n v="3.49"/>
    <n v="630.37"/>
    <x v="0"/>
    <x v="1"/>
    <x v="0"/>
    <x v="0"/>
    <n v="2199.9913000000001"/>
  </r>
  <r>
    <n v="10568"/>
    <x v="23"/>
    <x v="1"/>
    <n v="2.95"/>
    <n v="677.97"/>
    <x v="0"/>
    <x v="1"/>
    <x v="0"/>
    <x v="0"/>
    <n v="2000.0115000000003"/>
  </r>
  <r>
    <n v="10569"/>
    <x v="23"/>
    <x v="2"/>
    <n v="4.99"/>
    <n v="200.4"/>
    <x v="0"/>
    <x v="1"/>
    <x v="0"/>
    <x v="0"/>
    <n v="999.99600000000009"/>
  </r>
  <r>
    <n v="10570"/>
    <x v="24"/>
    <x v="3"/>
    <n v="12.99"/>
    <n v="492.69"/>
    <x v="0"/>
    <x v="1"/>
    <x v="0"/>
    <x v="0"/>
    <n v="6400.0430999999999"/>
  </r>
  <r>
    <n v="10571"/>
    <x v="24"/>
    <x v="4"/>
    <n v="9.9499999999999993"/>
    <n v="201.01"/>
    <x v="0"/>
    <x v="1"/>
    <x v="0"/>
    <x v="0"/>
    <n v="2000.0494999999999"/>
  </r>
  <r>
    <n v="10572"/>
    <x v="24"/>
    <x v="0"/>
    <n v="3.49"/>
    <n v="573.07000000000005"/>
    <x v="0"/>
    <x v="1"/>
    <x v="4"/>
    <x v="4"/>
    <n v="2000.0143000000003"/>
  </r>
  <r>
    <n v="10573"/>
    <x v="24"/>
    <x v="1"/>
    <n v="2.95"/>
    <n v="677.97"/>
    <x v="0"/>
    <x v="1"/>
    <x v="4"/>
    <x v="4"/>
    <n v="2000.0115000000003"/>
  </r>
  <r>
    <n v="10574"/>
    <x v="24"/>
    <x v="2"/>
    <n v="4.99"/>
    <n v="200.4"/>
    <x v="0"/>
    <x v="1"/>
    <x v="4"/>
    <x v="4"/>
    <n v="999.99600000000009"/>
  </r>
  <r>
    <n v="10575"/>
    <x v="25"/>
    <x v="3"/>
    <n v="12.99"/>
    <n v="523.48"/>
    <x v="0"/>
    <x v="1"/>
    <x v="4"/>
    <x v="4"/>
    <n v="6800.0052000000005"/>
  </r>
  <r>
    <n v="10576"/>
    <x v="25"/>
    <x v="4"/>
    <n v="9.9499999999999993"/>
    <n v="201.01"/>
    <x v="0"/>
    <x v="1"/>
    <x v="4"/>
    <x v="4"/>
    <n v="2000.0494999999999"/>
  </r>
  <r>
    <n v="10577"/>
    <x v="25"/>
    <x v="0"/>
    <n v="3.49"/>
    <n v="630.37"/>
    <x v="0"/>
    <x v="1"/>
    <x v="4"/>
    <x v="4"/>
    <n v="2199.9913000000001"/>
  </r>
  <r>
    <n v="10578"/>
    <x v="25"/>
    <x v="1"/>
    <n v="2.95"/>
    <n v="677.97"/>
    <x v="0"/>
    <x v="1"/>
    <x v="4"/>
    <x v="4"/>
    <n v="2000.0115000000003"/>
  </r>
  <r>
    <n v="10579"/>
    <x v="25"/>
    <x v="2"/>
    <n v="4.99"/>
    <n v="200.4"/>
    <x v="0"/>
    <x v="1"/>
    <x v="4"/>
    <x v="4"/>
    <n v="999.99600000000009"/>
  </r>
  <r>
    <n v="10580"/>
    <x v="26"/>
    <x v="3"/>
    <n v="12.99"/>
    <n v="523.48"/>
    <x v="0"/>
    <x v="1"/>
    <x v="4"/>
    <x v="4"/>
    <n v="6800.0052000000005"/>
  </r>
  <r>
    <n v="10581"/>
    <x v="26"/>
    <x v="4"/>
    <n v="9.9499999999999993"/>
    <n v="201.01"/>
    <x v="0"/>
    <x v="1"/>
    <x v="4"/>
    <x v="4"/>
    <n v="2000.0494999999999"/>
  </r>
  <r>
    <n v="10582"/>
    <x v="26"/>
    <x v="0"/>
    <n v="3.49"/>
    <n v="630.37"/>
    <x v="0"/>
    <x v="1"/>
    <x v="0"/>
    <x v="0"/>
    <n v="2199.9913000000001"/>
  </r>
  <r>
    <n v="10583"/>
    <x v="26"/>
    <x v="1"/>
    <n v="2.95"/>
    <n v="677.97"/>
    <x v="0"/>
    <x v="1"/>
    <x v="0"/>
    <x v="0"/>
    <n v="2000.0115000000003"/>
  </r>
  <r>
    <n v="10584"/>
    <x v="26"/>
    <x v="2"/>
    <n v="4.99"/>
    <n v="200.4"/>
    <x v="0"/>
    <x v="1"/>
    <x v="0"/>
    <x v="0"/>
    <n v="999.99600000000009"/>
  </r>
  <r>
    <n v="10585"/>
    <x v="27"/>
    <x v="3"/>
    <n v="12.99"/>
    <n v="538.88"/>
    <x v="0"/>
    <x v="1"/>
    <x v="0"/>
    <x v="0"/>
    <n v="7000.0511999999999"/>
  </r>
  <r>
    <n v="10586"/>
    <x v="27"/>
    <x v="4"/>
    <n v="9.9499999999999993"/>
    <n v="201.01"/>
    <x v="0"/>
    <x v="1"/>
    <x v="0"/>
    <x v="0"/>
    <n v="2000.0494999999999"/>
  </r>
  <r>
    <n v="10537"/>
    <x v="17"/>
    <x v="0"/>
    <n v="3.49"/>
    <n v="630.37"/>
    <x v="2"/>
    <x v="1"/>
    <x v="1"/>
    <x v="1"/>
    <n v="2199.9913000000001"/>
  </r>
  <r>
    <n v="10538"/>
    <x v="17"/>
    <x v="1"/>
    <n v="2.95"/>
    <n v="745.76"/>
    <x v="2"/>
    <x v="1"/>
    <x v="1"/>
    <x v="1"/>
    <n v="2199.9920000000002"/>
  </r>
  <r>
    <n v="10539"/>
    <x v="17"/>
    <x v="2"/>
    <n v="4.99"/>
    <n v="200.4"/>
    <x v="2"/>
    <x v="1"/>
    <x v="1"/>
    <x v="1"/>
    <n v="999.99600000000009"/>
  </r>
  <r>
    <n v="10590"/>
    <x v="28"/>
    <x v="3"/>
    <n v="12.99"/>
    <n v="554.27"/>
    <x v="0"/>
    <x v="1"/>
    <x v="0"/>
    <x v="0"/>
    <n v="7199.9673000000003"/>
  </r>
  <r>
    <n v="10591"/>
    <x v="28"/>
    <x v="4"/>
    <n v="9.9499999999999993"/>
    <n v="201.01"/>
    <x v="0"/>
    <x v="1"/>
    <x v="0"/>
    <x v="0"/>
    <n v="2000.0494999999999"/>
  </r>
  <r>
    <n v="10592"/>
    <x v="28"/>
    <x v="0"/>
    <n v="3.49"/>
    <n v="573.07000000000005"/>
    <x v="0"/>
    <x v="1"/>
    <x v="0"/>
    <x v="0"/>
    <n v="2000.0143000000003"/>
  </r>
  <r>
    <n v="10593"/>
    <x v="28"/>
    <x v="1"/>
    <n v="2.95"/>
    <n v="677.97"/>
    <x v="0"/>
    <x v="1"/>
    <x v="0"/>
    <x v="0"/>
    <n v="2000.0115000000003"/>
  </r>
  <r>
    <n v="10594"/>
    <x v="28"/>
    <x v="2"/>
    <n v="4.99"/>
    <n v="200.4"/>
    <x v="0"/>
    <x v="1"/>
    <x v="0"/>
    <x v="0"/>
    <n v="999.99600000000009"/>
  </r>
  <r>
    <n v="10595"/>
    <x v="29"/>
    <x v="3"/>
    <n v="12.99"/>
    <n v="538.88"/>
    <x v="0"/>
    <x v="1"/>
    <x v="0"/>
    <x v="0"/>
    <n v="7000.0511999999999"/>
  </r>
  <r>
    <n v="10596"/>
    <x v="29"/>
    <x v="4"/>
    <n v="9.9499999999999993"/>
    <n v="201.01"/>
    <x v="0"/>
    <x v="1"/>
    <x v="0"/>
    <x v="0"/>
    <n v="2000.0494999999999"/>
  </r>
  <r>
    <n v="10597"/>
    <x v="29"/>
    <x v="0"/>
    <n v="3.49"/>
    <n v="573.07000000000005"/>
    <x v="0"/>
    <x v="1"/>
    <x v="0"/>
    <x v="0"/>
    <n v="2000.0143000000003"/>
  </r>
  <r>
    <n v="10598"/>
    <x v="29"/>
    <x v="1"/>
    <n v="2.95"/>
    <n v="677.97"/>
    <x v="0"/>
    <x v="1"/>
    <x v="0"/>
    <x v="0"/>
    <n v="2000.0115000000003"/>
  </r>
  <r>
    <n v="10599"/>
    <x v="29"/>
    <x v="2"/>
    <n v="4.99"/>
    <n v="200.4"/>
    <x v="0"/>
    <x v="1"/>
    <x v="0"/>
    <x v="0"/>
    <n v="999.99600000000009"/>
  </r>
  <r>
    <n v="10600"/>
    <x v="30"/>
    <x v="3"/>
    <n v="12.99"/>
    <n v="523.48"/>
    <x v="0"/>
    <x v="1"/>
    <x v="0"/>
    <x v="0"/>
    <n v="6800.0052000000005"/>
  </r>
  <r>
    <n v="10601"/>
    <x v="30"/>
    <x v="4"/>
    <n v="9.9499999999999993"/>
    <n v="201.01"/>
    <x v="0"/>
    <x v="1"/>
    <x v="0"/>
    <x v="0"/>
    <n v="2000.0494999999999"/>
  </r>
  <r>
    <n v="10602"/>
    <x v="30"/>
    <x v="0"/>
    <n v="3.49"/>
    <n v="630.37"/>
    <x v="0"/>
    <x v="2"/>
    <x v="0"/>
    <x v="0"/>
    <n v="2199.9913000000001"/>
  </r>
  <r>
    <n v="10603"/>
    <x v="30"/>
    <x v="1"/>
    <n v="2.95"/>
    <n v="677.97"/>
    <x v="0"/>
    <x v="2"/>
    <x v="0"/>
    <x v="0"/>
    <n v="2000.0115000000003"/>
  </r>
  <r>
    <n v="10604"/>
    <x v="30"/>
    <x v="2"/>
    <n v="4.99"/>
    <n v="200.4"/>
    <x v="0"/>
    <x v="2"/>
    <x v="0"/>
    <x v="0"/>
    <n v="999.99600000000009"/>
  </r>
  <r>
    <n v="10605"/>
    <x v="31"/>
    <x v="3"/>
    <n v="12.99"/>
    <n v="538.88"/>
    <x v="0"/>
    <x v="2"/>
    <x v="0"/>
    <x v="0"/>
    <n v="7000.0511999999999"/>
  </r>
  <r>
    <n v="10606"/>
    <x v="31"/>
    <x v="4"/>
    <n v="9.9499999999999993"/>
    <n v="201.01"/>
    <x v="0"/>
    <x v="2"/>
    <x v="0"/>
    <x v="0"/>
    <n v="2000.0494999999999"/>
  </r>
  <r>
    <n v="10607"/>
    <x v="31"/>
    <x v="0"/>
    <n v="3.49"/>
    <n v="630.37"/>
    <x v="0"/>
    <x v="2"/>
    <x v="0"/>
    <x v="0"/>
    <n v="2199.9913000000001"/>
  </r>
  <r>
    <n v="10608"/>
    <x v="31"/>
    <x v="1"/>
    <n v="2.95"/>
    <n v="677.97"/>
    <x v="0"/>
    <x v="0"/>
    <x v="0"/>
    <x v="0"/>
    <n v="2000.0115000000003"/>
  </r>
  <r>
    <n v="10609"/>
    <x v="31"/>
    <x v="2"/>
    <n v="4.99"/>
    <n v="200.4"/>
    <x v="0"/>
    <x v="0"/>
    <x v="0"/>
    <x v="0"/>
    <n v="999.99600000000009"/>
  </r>
  <r>
    <n v="10610"/>
    <x v="32"/>
    <x v="3"/>
    <n v="12.99"/>
    <n v="569.66999999999996"/>
    <x v="0"/>
    <x v="0"/>
    <x v="0"/>
    <x v="0"/>
    <n v="7400.0132999999996"/>
  </r>
  <r>
    <n v="10611"/>
    <x v="32"/>
    <x v="4"/>
    <n v="9.9499999999999993"/>
    <n v="201.01"/>
    <x v="0"/>
    <x v="0"/>
    <x v="0"/>
    <x v="0"/>
    <n v="2000.0494999999999"/>
  </r>
  <r>
    <n v="10612"/>
    <x v="32"/>
    <x v="0"/>
    <n v="3.49"/>
    <n v="630.37"/>
    <x v="0"/>
    <x v="0"/>
    <x v="0"/>
    <x v="0"/>
    <n v="2199.9913000000001"/>
  </r>
  <r>
    <n v="10613"/>
    <x v="32"/>
    <x v="1"/>
    <n v="2.95"/>
    <n v="677.97"/>
    <x v="0"/>
    <x v="0"/>
    <x v="0"/>
    <x v="0"/>
    <n v="2000.0115000000003"/>
  </r>
  <r>
    <n v="10614"/>
    <x v="32"/>
    <x v="2"/>
    <n v="4.99"/>
    <n v="200.4"/>
    <x v="0"/>
    <x v="0"/>
    <x v="0"/>
    <x v="0"/>
    <n v="999.99600000000009"/>
  </r>
  <r>
    <n v="10615"/>
    <x v="33"/>
    <x v="3"/>
    <n v="12.99"/>
    <n v="569.66999999999996"/>
    <x v="0"/>
    <x v="0"/>
    <x v="0"/>
    <x v="0"/>
    <n v="7400.0132999999996"/>
  </r>
  <r>
    <n v="10616"/>
    <x v="33"/>
    <x v="4"/>
    <n v="9.9499999999999993"/>
    <n v="201.01"/>
    <x v="0"/>
    <x v="0"/>
    <x v="0"/>
    <x v="0"/>
    <n v="2000.0494999999999"/>
  </r>
  <r>
    <n v="10617"/>
    <x v="33"/>
    <x v="0"/>
    <n v="3.49"/>
    <n v="630.37"/>
    <x v="0"/>
    <x v="0"/>
    <x v="0"/>
    <x v="0"/>
    <n v="2199.9913000000001"/>
  </r>
  <r>
    <n v="10618"/>
    <x v="33"/>
    <x v="1"/>
    <n v="2.95"/>
    <n v="677.97"/>
    <x v="0"/>
    <x v="0"/>
    <x v="0"/>
    <x v="0"/>
    <n v="2000.0115000000003"/>
  </r>
  <r>
    <n v="10619"/>
    <x v="33"/>
    <x v="2"/>
    <n v="4.99"/>
    <n v="200.4"/>
    <x v="0"/>
    <x v="0"/>
    <x v="0"/>
    <x v="0"/>
    <n v="999.99600000000009"/>
  </r>
  <r>
    <n v="10620"/>
    <x v="34"/>
    <x v="3"/>
    <n v="12.99"/>
    <n v="585.07000000000005"/>
    <x v="0"/>
    <x v="0"/>
    <x v="0"/>
    <x v="0"/>
    <n v="7600.0593000000008"/>
  </r>
  <r>
    <n v="10621"/>
    <x v="34"/>
    <x v="4"/>
    <n v="9.9499999999999993"/>
    <n v="201.01"/>
    <x v="0"/>
    <x v="0"/>
    <x v="0"/>
    <x v="0"/>
    <n v="2000.0494999999999"/>
  </r>
  <r>
    <n v="10622"/>
    <x v="34"/>
    <x v="0"/>
    <n v="3.49"/>
    <n v="630.37"/>
    <x v="0"/>
    <x v="0"/>
    <x v="0"/>
    <x v="0"/>
    <n v="2199.9913000000001"/>
  </r>
  <r>
    <n v="10623"/>
    <x v="34"/>
    <x v="1"/>
    <n v="2.95"/>
    <n v="745.76"/>
    <x v="0"/>
    <x v="0"/>
    <x v="0"/>
    <x v="0"/>
    <n v="2199.9920000000002"/>
  </r>
  <r>
    <n v="10624"/>
    <x v="34"/>
    <x v="2"/>
    <n v="4.99"/>
    <n v="200.4"/>
    <x v="0"/>
    <x v="0"/>
    <x v="0"/>
    <x v="0"/>
    <n v="999.99600000000009"/>
  </r>
  <r>
    <n v="10625"/>
    <x v="35"/>
    <x v="3"/>
    <n v="12.99"/>
    <n v="569.66999999999996"/>
    <x v="0"/>
    <x v="0"/>
    <x v="0"/>
    <x v="0"/>
    <n v="7400.0132999999996"/>
  </r>
  <r>
    <n v="10626"/>
    <x v="35"/>
    <x v="4"/>
    <n v="9.9499999999999993"/>
    <n v="201.01"/>
    <x v="0"/>
    <x v="0"/>
    <x v="0"/>
    <x v="0"/>
    <n v="2000.0494999999999"/>
  </r>
  <r>
    <n v="10627"/>
    <x v="35"/>
    <x v="0"/>
    <n v="3.49"/>
    <n v="630.37"/>
    <x v="0"/>
    <x v="0"/>
    <x v="0"/>
    <x v="0"/>
    <n v="2199.9913000000001"/>
  </r>
  <r>
    <n v="10628"/>
    <x v="35"/>
    <x v="1"/>
    <n v="2.95"/>
    <n v="677.97"/>
    <x v="0"/>
    <x v="0"/>
    <x v="2"/>
    <x v="2"/>
    <n v="2000.0115000000003"/>
  </r>
  <r>
    <n v="10629"/>
    <x v="35"/>
    <x v="2"/>
    <n v="4.99"/>
    <n v="200.4"/>
    <x v="0"/>
    <x v="0"/>
    <x v="2"/>
    <x v="2"/>
    <n v="999.99600000000009"/>
  </r>
  <r>
    <n v="10630"/>
    <x v="36"/>
    <x v="3"/>
    <n v="12.99"/>
    <n v="569.66999999999996"/>
    <x v="0"/>
    <x v="2"/>
    <x v="2"/>
    <x v="2"/>
    <n v="7400.0132999999996"/>
  </r>
  <r>
    <n v="10631"/>
    <x v="36"/>
    <x v="4"/>
    <n v="9.9499999999999993"/>
    <n v="201.01"/>
    <x v="0"/>
    <x v="0"/>
    <x v="2"/>
    <x v="2"/>
    <n v="2000.0494999999999"/>
  </r>
  <r>
    <n v="10632"/>
    <x v="36"/>
    <x v="0"/>
    <n v="3.49"/>
    <n v="630.37"/>
    <x v="0"/>
    <x v="0"/>
    <x v="2"/>
    <x v="2"/>
    <n v="2199.9913000000001"/>
  </r>
  <r>
    <n v="10633"/>
    <x v="36"/>
    <x v="1"/>
    <n v="2.95"/>
    <n v="677.97"/>
    <x v="0"/>
    <x v="0"/>
    <x v="2"/>
    <x v="2"/>
    <n v="2000.0115000000003"/>
  </r>
  <r>
    <n v="10634"/>
    <x v="36"/>
    <x v="2"/>
    <n v="4.99"/>
    <n v="200.4"/>
    <x v="0"/>
    <x v="0"/>
    <x v="2"/>
    <x v="2"/>
    <n v="999.99600000000009"/>
  </r>
  <r>
    <n v="10635"/>
    <x v="37"/>
    <x v="3"/>
    <n v="12.99"/>
    <n v="554.27"/>
    <x v="0"/>
    <x v="0"/>
    <x v="2"/>
    <x v="2"/>
    <n v="7199.9673000000003"/>
  </r>
  <r>
    <n v="10636"/>
    <x v="37"/>
    <x v="4"/>
    <n v="9.9499999999999993"/>
    <n v="221.11"/>
    <x v="0"/>
    <x v="0"/>
    <x v="2"/>
    <x v="2"/>
    <n v="2200.0445"/>
  </r>
  <r>
    <n v="10637"/>
    <x v="37"/>
    <x v="0"/>
    <n v="3.49"/>
    <n v="630.37"/>
    <x v="0"/>
    <x v="0"/>
    <x v="2"/>
    <x v="2"/>
    <n v="2199.9913000000001"/>
  </r>
  <r>
    <n v="10638"/>
    <x v="37"/>
    <x v="1"/>
    <n v="2.95"/>
    <n v="677.97"/>
    <x v="0"/>
    <x v="0"/>
    <x v="2"/>
    <x v="2"/>
    <n v="2000.0115000000003"/>
  </r>
  <r>
    <n v="10639"/>
    <x v="37"/>
    <x v="2"/>
    <n v="4.99"/>
    <n v="200.4"/>
    <x v="0"/>
    <x v="0"/>
    <x v="2"/>
    <x v="2"/>
    <n v="999.99600000000009"/>
  </r>
  <r>
    <n v="10640"/>
    <x v="38"/>
    <x v="3"/>
    <n v="12.99"/>
    <n v="538.88"/>
    <x v="0"/>
    <x v="0"/>
    <x v="2"/>
    <x v="2"/>
    <n v="7000.0511999999999"/>
  </r>
  <r>
    <n v="10641"/>
    <x v="38"/>
    <x v="4"/>
    <n v="9.9499999999999993"/>
    <n v="221.11"/>
    <x v="0"/>
    <x v="0"/>
    <x v="2"/>
    <x v="2"/>
    <n v="2200.0445"/>
  </r>
  <r>
    <n v="10642"/>
    <x v="38"/>
    <x v="0"/>
    <n v="3.49"/>
    <n v="630.37"/>
    <x v="0"/>
    <x v="2"/>
    <x v="2"/>
    <x v="2"/>
    <n v="2199.9913000000001"/>
  </r>
  <r>
    <n v="10643"/>
    <x v="38"/>
    <x v="1"/>
    <n v="2.95"/>
    <n v="677.97"/>
    <x v="0"/>
    <x v="2"/>
    <x v="2"/>
    <x v="2"/>
    <n v="2000.0115000000003"/>
  </r>
  <r>
    <n v="10644"/>
    <x v="38"/>
    <x v="2"/>
    <n v="4.99"/>
    <n v="200.4"/>
    <x v="0"/>
    <x v="2"/>
    <x v="2"/>
    <x v="2"/>
    <n v="999.99600000000009"/>
  </r>
  <r>
    <n v="10645"/>
    <x v="39"/>
    <x v="3"/>
    <n v="12.99"/>
    <n v="569.66999999999996"/>
    <x v="0"/>
    <x v="2"/>
    <x v="2"/>
    <x v="2"/>
    <n v="7400.0132999999996"/>
  </r>
  <r>
    <n v="10646"/>
    <x v="39"/>
    <x v="4"/>
    <n v="9.9499999999999993"/>
    <n v="221.11"/>
    <x v="0"/>
    <x v="2"/>
    <x v="2"/>
    <x v="2"/>
    <n v="2200.0445"/>
  </r>
  <r>
    <n v="10647"/>
    <x v="39"/>
    <x v="0"/>
    <n v="3.49"/>
    <n v="630.37"/>
    <x v="0"/>
    <x v="0"/>
    <x v="2"/>
    <x v="2"/>
    <n v="2199.9913000000001"/>
  </r>
  <r>
    <n v="10648"/>
    <x v="39"/>
    <x v="1"/>
    <n v="2.95"/>
    <n v="745.76"/>
    <x v="0"/>
    <x v="0"/>
    <x v="2"/>
    <x v="2"/>
    <n v="2199.9920000000002"/>
  </r>
  <r>
    <n v="10649"/>
    <x v="39"/>
    <x v="2"/>
    <n v="4.99"/>
    <n v="200.4"/>
    <x v="0"/>
    <x v="0"/>
    <x v="2"/>
    <x v="2"/>
    <n v="999.99600000000009"/>
  </r>
  <r>
    <n v="10650"/>
    <x v="40"/>
    <x v="3"/>
    <n v="12.99"/>
    <n v="585.07000000000005"/>
    <x v="0"/>
    <x v="0"/>
    <x v="2"/>
    <x v="2"/>
    <n v="7600.0593000000008"/>
  </r>
  <r>
    <n v="10651"/>
    <x v="40"/>
    <x v="4"/>
    <n v="9.9499999999999993"/>
    <n v="221.11"/>
    <x v="0"/>
    <x v="0"/>
    <x v="2"/>
    <x v="2"/>
    <n v="2200.0445"/>
  </r>
  <r>
    <n v="10652"/>
    <x v="40"/>
    <x v="0"/>
    <n v="3.49"/>
    <n v="687.68"/>
    <x v="0"/>
    <x v="0"/>
    <x v="2"/>
    <x v="2"/>
    <n v="2400.0032000000001"/>
  </r>
  <r>
    <n v="10653"/>
    <x v="40"/>
    <x v="1"/>
    <n v="2.95"/>
    <n v="745.76"/>
    <x v="0"/>
    <x v="0"/>
    <x v="2"/>
    <x v="2"/>
    <n v="2199.9920000000002"/>
  </r>
  <r>
    <n v="10654"/>
    <x v="40"/>
    <x v="2"/>
    <n v="4.99"/>
    <n v="200.4"/>
    <x v="0"/>
    <x v="0"/>
    <x v="2"/>
    <x v="2"/>
    <n v="999.99600000000009"/>
  </r>
  <r>
    <n v="10655"/>
    <x v="41"/>
    <x v="3"/>
    <n v="12.99"/>
    <n v="600.46"/>
    <x v="0"/>
    <x v="0"/>
    <x v="2"/>
    <x v="2"/>
    <n v="7799.9754000000003"/>
  </r>
  <r>
    <n v="10656"/>
    <x v="41"/>
    <x v="4"/>
    <n v="9.9499999999999993"/>
    <n v="221.11"/>
    <x v="0"/>
    <x v="0"/>
    <x v="2"/>
    <x v="2"/>
    <n v="2200.0445"/>
  </r>
  <r>
    <n v="10657"/>
    <x v="41"/>
    <x v="0"/>
    <n v="3.49"/>
    <n v="687.68"/>
    <x v="0"/>
    <x v="0"/>
    <x v="2"/>
    <x v="2"/>
    <n v="2400.0032000000001"/>
  </r>
  <r>
    <n v="10658"/>
    <x v="41"/>
    <x v="1"/>
    <n v="2.95"/>
    <n v="745.76"/>
    <x v="0"/>
    <x v="2"/>
    <x v="2"/>
    <x v="2"/>
    <n v="2199.9920000000002"/>
  </r>
  <r>
    <n v="10659"/>
    <x v="41"/>
    <x v="2"/>
    <n v="4.99"/>
    <n v="200.4"/>
    <x v="0"/>
    <x v="2"/>
    <x v="2"/>
    <x v="2"/>
    <n v="999.99600000000009"/>
  </r>
  <r>
    <n v="10660"/>
    <x v="42"/>
    <x v="3"/>
    <n v="12.99"/>
    <n v="631.25"/>
    <x v="1"/>
    <x v="2"/>
    <x v="2"/>
    <x v="2"/>
    <n v="8199.9375"/>
  </r>
  <r>
    <n v="10661"/>
    <x v="42"/>
    <x v="4"/>
    <n v="9.9499999999999993"/>
    <n v="221.11"/>
    <x v="1"/>
    <x v="2"/>
    <x v="2"/>
    <x v="2"/>
    <n v="2200.0445"/>
  </r>
  <r>
    <n v="10662"/>
    <x v="42"/>
    <x v="0"/>
    <n v="3.49"/>
    <n v="630.37"/>
    <x v="1"/>
    <x v="2"/>
    <x v="2"/>
    <x v="2"/>
    <n v="2199.9913000000001"/>
  </r>
  <r>
    <n v="10663"/>
    <x v="42"/>
    <x v="1"/>
    <n v="2.95"/>
    <n v="745.76"/>
    <x v="1"/>
    <x v="2"/>
    <x v="2"/>
    <x v="2"/>
    <n v="2199.9920000000002"/>
  </r>
  <r>
    <n v="10664"/>
    <x v="42"/>
    <x v="2"/>
    <n v="4.99"/>
    <n v="200.4"/>
    <x v="1"/>
    <x v="2"/>
    <x v="2"/>
    <x v="2"/>
    <n v="999.99600000000009"/>
  </r>
  <r>
    <n v="10665"/>
    <x v="43"/>
    <x v="3"/>
    <n v="12.99"/>
    <n v="646.65"/>
    <x v="1"/>
    <x v="2"/>
    <x v="2"/>
    <x v="2"/>
    <n v="8399.9835000000003"/>
  </r>
  <r>
    <n v="10666"/>
    <x v="43"/>
    <x v="4"/>
    <n v="9.9499999999999993"/>
    <n v="221.11"/>
    <x v="1"/>
    <x v="2"/>
    <x v="2"/>
    <x v="2"/>
    <n v="2200.0445"/>
  </r>
  <r>
    <n v="10667"/>
    <x v="43"/>
    <x v="0"/>
    <n v="3.49"/>
    <n v="630.37"/>
    <x v="1"/>
    <x v="2"/>
    <x v="2"/>
    <x v="2"/>
    <n v="2199.9913000000001"/>
  </r>
  <r>
    <n v="10668"/>
    <x v="43"/>
    <x v="1"/>
    <n v="2.95"/>
    <n v="745.76"/>
    <x v="1"/>
    <x v="2"/>
    <x v="2"/>
    <x v="2"/>
    <n v="2199.9920000000002"/>
  </r>
  <r>
    <n v="10669"/>
    <x v="43"/>
    <x v="2"/>
    <n v="4.99"/>
    <n v="200.4"/>
    <x v="1"/>
    <x v="2"/>
    <x v="2"/>
    <x v="2"/>
    <n v="999.99600000000009"/>
  </r>
  <r>
    <n v="10670"/>
    <x v="44"/>
    <x v="3"/>
    <n v="12.99"/>
    <n v="677.44"/>
    <x v="1"/>
    <x v="2"/>
    <x v="2"/>
    <x v="2"/>
    <n v="8799.9456000000009"/>
  </r>
  <r>
    <n v="10671"/>
    <x v="44"/>
    <x v="4"/>
    <n v="9.9499999999999993"/>
    <n v="221.11"/>
    <x v="1"/>
    <x v="2"/>
    <x v="2"/>
    <x v="2"/>
    <n v="2200.0445"/>
  </r>
  <r>
    <n v="10672"/>
    <x v="44"/>
    <x v="0"/>
    <n v="3.49"/>
    <n v="630.37"/>
    <x v="1"/>
    <x v="2"/>
    <x v="2"/>
    <x v="2"/>
    <n v="2199.9913000000001"/>
  </r>
  <r>
    <n v="10673"/>
    <x v="44"/>
    <x v="1"/>
    <n v="2.95"/>
    <n v="745.76"/>
    <x v="1"/>
    <x v="2"/>
    <x v="2"/>
    <x v="2"/>
    <n v="2199.9920000000002"/>
  </r>
  <r>
    <n v="10674"/>
    <x v="44"/>
    <x v="2"/>
    <n v="4.99"/>
    <n v="200.4"/>
    <x v="1"/>
    <x v="2"/>
    <x v="2"/>
    <x v="2"/>
    <n v="999.99600000000009"/>
  </r>
  <r>
    <n v="10675"/>
    <x v="45"/>
    <x v="3"/>
    <n v="12.99"/>
    <n v="677.44"/>
    <x v="1"/>
    <x v="2"/>
    <x v="2"/>
    <x v="2"/>
    <n v="8799.9456000000009"/>
  </r>
  <r>
    <n v="10676"/>
    <x v="45"/>
    <x v="4"/>
    <n v="9.9499999999999993"/>
    <n v="241.21"/>
    <x v="1"/>
    <x v="2"/>
    <x v="2"/>
    <x v="2"/>
    <n v="2400.0394999999999"/>
  </r>
  <r>
    <n v="10677"/>
    <x v="45"/>
    <x v="0"/>
    <n v="3.49"/>
    <n v="630.37"/>
    <x v="1"/>
    <x v="2"/>
    <x v="2"/>
    <x v="2"/>
    <n v="2199.9913000000001"/>
  </r>
  <r>
    <n v="10678"/>
    <x v="45"/>
    <x v="1"/>
    <n v="2.95"/>
    <n v="745.76"/>
    <x v="1"/>
    <x v="2"/>
    <x v="2"/>
    <x v="2"/>
    <n v="2199.9920000000002"/>
  </r>
  <r>
    <n v="10679"/>
    <x v="45"/>
    <x v="2"/>
    <n v="4.99"/>
    <n v="200.4"/>
    <x v="1"/>
    <x v="2"/>
    <x v="2"/>
    <x v="2"/>
    <n v="999.99600000000009"/>
  </r>
  <r>
    <n v="10680"/>
    <x v="46"/>
    <x v="3"/>
    <n v="12.99"/>
    <n v="646.65"/>
    <x v="1"/>
    <x v="2"/>
    <x v="2"/>
    <x v="2"/>
    <n v="8399.9835000000003"/>
  </r>
  <r>
    <n v="10681"/>
    <x v="46"/>
    <x v="4"/>
    <n v="9.9499999999999993"/>
    <n v="241.21"/>
    <x v="1"/>
    <x v="2"/>
    <x v="2"/>
    <x v="2"/>
    <n v="2400.0394999999999"/>
  </r>
  <r>
    <n v="10682"/>
    <x v="46"/>
    <x v="0"/>
    <n v="3.49"/>
    <n v="630.37"/>
    <x v="1"/>
    <x v="2"/>
    <x v="2"/>
    <x v="2"/>
    <n v="2199.9913000000001"/>
  </r>
  <r>
    <n v="10683"/>
    <x v="46"/>
    <x v="1"/>
    <n v="2.95"/>
    <n v="677.97"/>
    <x v="1"/>
    <x v="2"/>
    <x v="2"/>
    <x v="2"/>
    <n v="2000.0115000000003"/>
  </r>
  <r>
    <n v="10684"/>
    <x v="46"/>
    <x v="2"/>
    <n v="4.99"/>
    <n v="200.4"/>
    <x v="1"/>
    <x v="2"/>
    <x v="2"/>
    <x v="2"/>
    <n v="999.99600000000009"/>
  </r>
  <r>
    <n v="10685"/>
    <x v="47"/>
    <x v="3"/>
    <n v="12.99"/>
    <n v="677.44"/>
    <x v="1"/>
    <x v="2"/>
    <x v="2"/>
    <x v="2"/>
    <n v="8799.9456000000009"/>
  </r>
  <r>
    <n v="10686"/>
    <x v="47"/>
    <x v="4"/>
    <n v="9.9499999999999993"/>
    <n v="241.21"/>
    <x v="1"/>
    <x v="2"/>
    <x v="2"/>
    <x v="2"/>
    <n v="2400.0394999999999"/>
  </r>
  <r>
    <n v="10687"/>
    <x v="47"/>
    <x v="0"/>
    <n v="3.49"/>
    <n v="630.37"/>
    <x v="1"/>
    <x v="2"/>
    <x v="3"/>
    <x v="3"/>
    <n v="2199.9913000000001"/>
  </r>
  <r>
    <n v="10688"/>
    <x v="47"/>
    <x v="1"/>
    <n v="2.95"/>
    <n v="677.97"/>
    <x v="1"/>
    <x v="2"/>
    <x v="3"/>
    <x v="3"/>
    <n v="2000.0115000000003"/>
  </r>
  <r>
    <n v="10689"/>
    <x v="47"/>
    <x v="2"/>
    <n v="4.99"/>
    <n v="200.4"/>
    <x v="1"/>
    <x v="2"/>
    <x v="3"/>
    <x v="3"/>
    <n v="999.99600000000009"/>
  </r>
  <r>
    <n v="10690"/>
    <x v="48"/>
    <x v="3"/>
    <n v="12.99"/>
    <n v="677.44"/>
    <x v="1"/>
    <x v="2"/>
    <x v="3"/>
    <x v="3"/>
    <n v="8799.9456000000009"/>
  </r>
  <r>
    <n v="10691"/>
    <x v="48"/>
    <x v="4"/>
    <n v="9.9499999999999993"/>
    <n v="261.31"/>
    <x v="1"/>
    <x v="2"/>
    <x v="3"/>
    <x v="3"/>
    <n v="2600.0344999999998"/>
  </r>
  <r>
    <n v="10692"/>
    <x v="48"/>
    <x v="0"/>
    <n v="3.49"/>
    <n v="630.37"/>
    <x v="1"/>
    <x v="2"/>
    <x v="3"/>
    <x v="3"/>
    <n v="2199.9913000000001"/>
  </r>
  <r>
    <n v="10693"/>
    <x v="48"/>
    <x v="1"/>
    <n v="2.95"/>
    <n v="677.97"/>
    <x v="1"/>
    <x v="2"/>
    <x v="3"/>
    <x v="3"/>
    <n v="2000.0115000000003"/>
  </r>
  <r>
    <n v="10694"/>
    <x v="48"/>
    <x v="2"/>
    <n v="4.99"/>
    <n v="200.4"/>
    <x v="1"/>
    <x v="2"/>
    <x v="3"/>
    <x v="3"/>
    <n v="999.99600000000009"/>
  </r>
  <r>
    <n v="10695"/>
    <x v="49"/>
    <x v="3"/>
    <n v="12.99"/>
    <n v="692.84"/>
    <x v="1"/>
    <x v="2"/>
    <x v="3"/>
    <x v="3"/>
    <n v="8999.9916000000012"/>
  </r>
  <r>
    <n v="10696"/>
    <x v="49"/>
    <x v="4"/>
    <n v="9.9499999999999993"/>
    <n v="281.41000000000003"/>
    <x v="1"/>
    <x v="2"/>
    <x v="3"/>
    <x v="3"/>
    <n v="2800.0295000000001"/>
  </r>
  <r>
    <n v="10697"/>
    <x v="49"/>
    <x v="0"/>
    <n v="3.49"/>
    <n v="630.37"/>
    <x v="1"/>
    <x v="2"/>
    <x v="3"/>
    <x v="3"/>
    <n v="2199.9913000000001"/>
  </r>
  <r>
    <n v="10698"/>
    <x v="49"/>
    <x v="1"/>
    <n v="2.95"/>
    <n v="677.97"/>
    <x v="1"/>
    <x v="2"/>
    <x v="3"/>
    <x v="3"/>
    <n v="2000.0115000000003"/>
  </r>
  <r>
    <n v="10699"/>
    <x v="49"/>
    <x v="2"/>
    <n v="4.99"/>
    <n v="200.4"/>
    <x v="1"/>
    <x v="2"/>
    <x v="3"/>
    <x v="3"/>
    <n v="999.99600000000009"/>
  </r>
  <r>
    <n v="10700"/>
    <x v="50"/>
    <x v="3"/>
    <n v="12.99"/>
    <n v="692.84"/>
    <x v="1"/>
    <x v="2"/>
    <x v="3"/>
    <x v="3"/>
    <n v="8999.9916000000012"/>
  </r>
  <r>
    <n v="10701"/>
    <x v="50"/>
    <x v="4"/>
    <n v="9.9499999999999993"/>
    <n v="281.41000000000003"/>
    <x v="1"/>
    <x v="2"/>
    <x v="3"/>
    <x v="3"/>
    <n v="2800.0295000000001"/>
  </r>
  <r>
    <n v="10702"/>
    <x v="50"/>
    <x v="0"/>
    <n v="3.49"/>
    <n v="630.37"/>
    <x v="1"/>
    <x v="2"/>
    <x v="3"/>
    <x v="3"/>
    <n v="2199.9913000000001"/>
  </r>
  <r>
    <n v="10703"/>
    <x v="50"/>
    <x v="1"/>
    <n v="2.95"/>
    <n v="677.97"/>
    <x v="1"/>
    <x v="0"/>
    <x v="3"/>
    <x v="3"/>
    <n v="2000.0115000000003"/>
  </r>
  <r>
    <n v="10704"/>
    <x v="50"/>
    <x v="2"/>
    <n v="4.99"/>
    <n v="200.4"/>
    <x v="2"/>
    <x v="0"/>
    <x v="3"/>
    <x v="3"/>
    <n v="999.99600000000009"/>
  </r>
  <r>
    <n v="10705"/>
    <x v="51"/>
    <x v="3"/>
    <n v="12.99"/>
    <n v="723.63"/>
    <x v="2"/>
    <x v="0"/>
    <x v="3"/>
    <x v="3"/>
    <n v="9399.9537"/>
  </r>
  <r>
    <n v="10706"/>
    <x v="51"/>
    <x v="4"/>
    <n v="9.9499999999999993"/>
    <n v="301.51"/>
    <x v="2"/>
    <x v="0"/>
    <x v="3"/>
    <x v="3"/>
    <n v="3000.0244999999995"/>
  </r>
  <r>
    <n v="10707"/>
    <x v="51"/>
    <x v="0"/>
    <n v="3.49"/>
    <n v="630.37"/>
    <x v="2"/>
    <x v="0"/>
    <x v="3"/>
    <x v="3"/>
    <n v="2199.9913000000001"/>
  </r>
  <r>
    <n v="10708"/>
    <x v="51"/>
    <x v="1"/>
    <n v="2.95"/>
    <n v="677.97"/>
    <x v="2"/>
    <x v="0"/>
    <x v="3"/>
    <x v="3"/>
    <n v="2000.0115000000003"/>
  </r>
  <r>
    <n v="10709"/>
    <x v="51"/>
    <x v="2"/>
    <n v="4.99"/>
    <n v="200.4"/>
    <x v="2"/>
    <x v="0"/>
    <x v="3"/>
    <x v="3"/>
    <n v="999.99600000000009"/>
  </r>
  <r>
    <n v="10710"/>
    <x v="52"/>
    <x v="3"/>
    <n v="12.99"/>
    <n v="754.43"/>
    <x v="2"/>
    <x v="0"/>
    <x v="3"/>
    <x v="3"/>
    <n v="9800.0456999999988"/>
  </r>
  <r>
    <n v="10711"/>
    <x v="52"/>
    <x v="4"/>
    <n v="9.9499999999999993"/>
    <n v="281.41000000000003"/>
    <x v="2"/>
    <x v="0"/>
    <x v="3"/>
    <x v="3"/>
    <n v="2800.0295000000001"/>
  </r>
  <r>
    <n v="10712"/>
    <x v="52"/>
    <x v="0"/>
    <n v="3.49"/>
    <n v="630.37"/>
    <x v="2"/>
    <x v="0"/>
    <x v="3"/>
    <x v="3"/>
    <n v="2199.9913000000001"/>
  </r>
  <r>
    <n v="10713"/>
    <x v="52"/>
    <x v="1"/>
    <n v="2.95"/>
    <n v="677.97"/>
    <x v="2"/>
    <x v="0"/>
    <x v="3"/>
    <x v="3"/>
    <n v="2000.0115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grandTotalCaption="total sales" updatedVersion="6" minRefreshableVersion="3" useAutoFormatting="1" colGrandTotals="0" itemPrintTitles="1" createdVersion="6" indent="0" outline="1" outlineData="1" multipleFieldFilters="0" rowHeaderCaption="monthly sales">
  <location ref="G18:H21" firstHeaderRow="1" firstDataRow="1" firstDataCol="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1"/>
        <item x="3"/>
        <item x="4"/>
        <item x="0"/>
        <item x="2"/>
        <item t="default"/>
      </items>
    </pivotField>
    <pivotField numFmtId="1" showAll="0"/>
    <pivotField numFmtId="1" showAll="0"/>
    <pivotField showAll="0">
      <items count="4">
        <item x="2"/>
        <item x="1"/>
        <item x="0"/>
        <item t="default"/>
      </items>
    </pivotField>
    <pivotField showAll="0">
      <items count="4">
        <item x="2"/>
        <item x="1"/>
        <item x="0"/>
        <item t="default"/>
      </items>
    </pivotField>
    <pivotField showAll="0">
      <items count="6">
        <item x="3"/>
        <item x="2"/>
        <item x="0"/>
        <item x="1"/>
        <item x="4"/>
        <item t="default"/>
      </items>
    </pivotField>
    <pivotField showAll="0">
      <items count="6">
        <item x="2"/>
        <item x="1"/>
        <item x="4"/>
        <item x="0"/>
        <item x="3"/>
        <item t="default"/>
      </items>
    </pivotField>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3">
    <i>
      <x v="11"/>
    </i>
    <i>
      <x v="12"/>
    </i>
    <i t="grand">
      <x/>
    </i>
  </rowItems>
  <colItems count="1">
    <i/>
  </colItems>
  <dataFields count="1">
    <dataField name="total sales" fld="9" baseField="0" baseItem="0"/>
  </dataFields>
  <formats count="14">
    <format dxfId="36">
      <pivotArea type="all" dataOnly="0" outline="0" fieldPosition="0"/>
    </format>
    <format dxfId="37">
      <pivotArea outline="0" collapsedLevelsAreSubtotals="1" fieldPosition="0"/>
    </format>
    <format dxfId="38">
      <pivotArea type="origin" dataOnly="0" labelOnly="1" outline="0" fieldPosition="0"/>
    </format>
    <format dxfId="39">
      <pivotArea type="topRight" dataOnly="0" labelOnly="1" outline="0" fieldPosition="0"/>
    </format>
    <format dxfId="40">
      <pivotArea dataOnly="0" labelOnly="1" grandRow="1" outline="0" fieldPosition="0"/>
    </format>
    <format dxfId="41">
      <pivotArea dataOnly="0" labelOnly="1" grandCol="1" outline="0" fieldPosition="0"/>
    </format>
    <format dxfId="35">
      <pivotArea dataOnly="0" labelOnly="1" outline="0" axis="axisValues" fieldPosition="0"/>
    </format>
    <format dxfId="34">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 dxfId="29">
      <pivotArea dataOnly="0" labelOnly="1" fieldPosition="0">
        <references count="1">
          <reference field="10" count="2">
            <x v="11"/>
            <x v="12"/>
          </reference>
        </references>
      </pivotArea>
    </format>
    <format dxfId="28">
      <pivotArea dataOnly="0" labelOnly="1" grandRow="1" outline="0" fieldPosition="0"/>
    </format>
    <format dxfId="27">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grandTotalCaption="total sales" updatedVersion="6" minRefreshableVersion="3" useAutoFormatting="1" colGrandTotals="0" itemPrintTitles="1" createdVersion="6" indent="0" outline="1" outlineData="1" multipleFieldFilters="0" rowHeaderCaption="manager sales">
  <location ref="K2:M9" firstHeaderRow="1" firstDataRow="2" firstDataCol="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1"/>
        <item x="3"/>
        <item x="4"/>
        <item x="0"/>
        <item x="2"/>
        <item t="default"/>
      </items>
    </pivotField>
    <pivotField numFmtId="1" showAll="0"/>
    <pivotField numFmtId="1" showAll="0"/>
    <pivotField showAll="0">
      <items count="4">
        <item x="2"/>
        <item x="1"/>
        <item x="0"/>
        <item t="default"/>
      </items>
    </pivotField>
    <pivotField showAll="0">
      <items count="4">
        <item x="2"/>
        <item x="1"/>
        <item x="0"/>
        <item t="default"/>
      </items>
    </pivotField>
    <pivotField showAll="0">
      <items count="6">
        <item x="3"/>
        <item x="2"/>
        <item x="0"/>
        <item x="1"/>
        <item x="4"/>
        <item t="default"/>
      </items>
    </pivotField>
    <pivotField axis="axisRow" showAll="0">
      <items count="6">
        <item x="2"/>
        <item x="1"/>
        <item x="4"/>
        <item x="0"/>
        <item x="3"/>
        <item t="default"/>
      </items>
    </pivotField>
    <pivotField dataField="1" numFmtId="1" showAll="0"/>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6">
    <i>
      <x/>
    </i>
    <i>
      <x v="1"/>
    </i>
    <i>
      <x v="2"/>
    </i>
    <i>
      <x v="3"/>
    </i>
    <i>
      <x v="4"/>
    </i>
    <i t="grand">
      <x/>
    </i>
  </rowItems>
  <colFields count="1">
    <field x="10"/>
  </colFields>
  <colItems count="2">
    <i>
      <x v="11"/>
    </i>
    <i>
      <x v="12"/>
    </i>
  </colItems>
  <dataFields count="1">
    <dataField name=" total price" fld="9" baseField="0" baseItem="0"/>
  </dataFields>
  <formats count="13">
    <format dxfId="42">
      <pivotArea type="all" dataOnly="0" outline="0" fieldPosition="0"/>
    </format>
    <format dxfId="43">
      <pivotArea outline="0" collapsedLevelsAreSubtotals="1" fieldPosition="0"/>
    </format>
    <format dxfId="44">
      <pivotArea type="origin" dataOnly="0" labelOnly="1" outline="0" fieldPosition="0"/>
    </format>
    <format dxfId="45">
      <pivotArea type="topRight" dataOnly="0" labelOnly="1" outline="0" fieldPosition="0"/>
    </format>
    <format dxfId="46">
      <pivotArea dataOnly="0" labelOnly="1" grandRow="1" outline="0" fieldPosition="0"/>
    </format>
    <format dxfId="47">
      <pivotArea dataOnly="0" labelOnly="1" grandCol="1" outline="0" fieldPosition="0"/>
    </format>
    <format dxfId="26">
      <pivotArea type="all" dataOnly="0" outline="0" fieldPosition="0"/>
    </format>
    <format dxfId="25">
      <pivotArea outline="0" collapsedLevelsAreSubtotals="1" fieldPosition="0"/>
    </format>
    <format dxfId="24">
      <pivotArea type="origin" dataOnly="0" labelOnly="1" outline="0" fieldPosition="0"/>
    </format>
    <format dxfId="23">
      <pivotArea type="topRight" dataOnly="0" labelOnly="1" outline="0" fieldPosition="0"/>
    </format>
    <format dxfId="22">
      <pivotArea dataOnly="0" labelOnly="1" fieldPosition="0">
        <references count="1">
          <reference field="8" count="0"/>
        </references>
      </pivotArea>
    </format>
    <format dxfId="21">
      <pivotArea dataOnly="0" labelOnly="1" grandRow="1" outline="0" fieldPosition="0"/>
    </format>
    <format dxfId="20">
      <pivotArea dataOnly="0" labelOnly="1" fieldPosition="0">
        <references count="1">
          <reference field="10" count="2">
            <x v="11"/>
            <x v="12"/>
          </reference>
        </references>
      </pivotArea>
    </format>
  </format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8" cacheId="0" applyNumberFormats="0" applyBorderFormats="0" applyFontFormats="0" applyPatternFormats="0" applyAlignmentFormats="0" applyWidthHeightFormats="1" dataCaption="Values" grandTotalCaption="total sales" updatedVersion="6" minRefreshableVersion="3" useAutoFormatting="1" colGrandTotals="0" itemPrintTitles="1" createdVersion="6" indent="0" outline="1" outlineData="1" multipleFieldFilters="0" rowHeaderCaption="product sales">
  <location ref="C2:E33" firstHeaderRow="0" firstDataRow="1" firstDataCol="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6">
        <item x="1"/>
        <item x="3"/>
        <item x="4"/>
        <item x="0"/>
        <item x="2"/>
        <item t="default"/>
      </items>
    </pivotField>
    <pivotField numFmtId="1" showAll="0"/>
    <pivotField dataField="1" numFmtId="1" showAll="0"/>
    <pivotField showAll="0"/>
    <pivotField showAll="0"/>
    <pivotField showAll="0">
      <items count="6">
        <item x="3"/>
        <item x="2"/>
        <item x="0"/>
        <item x="1"/>
        <item x="4"/>
        <item t="default"/>
      </items>
    </pivotField>
    <pivotField axis="axisRow" showAll="0">
      <items count="6">
        <item x="2"/>
        <item x="1"/>
        <item x="4"/>
        <item x="0"/>
        <item x="3"/>
        <item t="default"/>
      </items>
    </pivotField>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2">
    <field x="8"/>
    <field x="2"/>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Fields count="1">
    <field x="-2"/>
  </colFields>
  <colItems count="2">
    <i>
      <x/>
    </i>
    <i i="1">
      <x v="1"/>
    </i>
  </colItems>
  <dataFields count="2">
    <dataField name=" Quantity" fld="4" baseField="0" baseItem="0"/>
    <dataField name="total sales" fld="9" baseField="0" baseItem="0"/>
  </dataFields>
  <formats count="22">
    <format dxfId="63">
      <pivotArea type="all" dataOnly="0" outline="0" fieldPosition="0"/>
    </format>
    <format dxfId="62">
      <pivotArea outline="0" collapsedLevelsAreSubtotals="1" fieldPosition="0"/>
    </format>
    <format dxfId="61">
      <pivotArea type="origin" dataOnly="0" labelOnly="1" outline="0" fieldPosition="0"/>
    </format>
    <format dxfId="60">
      <pivotArea type="topRight" dataOnly="0" labelOnly="1" outline="0" fieldPosition="0"/>
    </format>
    <format dxfId="59">
      <pivotArea dataOnly="0" labelOnly="1" fieldPosition="0">
        <references count="1">
          <reference field="8" count="0"/>
        </references>
      </pivotArea>
    </format>
    <format dxfId="58">
      <pivotArea dataOnly="0" labelOnly="1" grandRow="1" outline="0" fieldPosition="0"/>
    </format>
    <format dxfId="57">
      <pivotArea dataOnly="0" labelOnly="1" fieldPosition="0">
        <references count="2">
          <reference field="2" count="0"/>
          <reference field="8" count="1" selected="0">
            <x v="0"/>
          </reference>
        </references>
      </pivotArea>
    </format>
    <format dxfId="56">
      <pivotArea dataOnly="0" labelOnly="1" fieldPosition="0">
        <references count="2">
          <reference field="2" count="0"/>
          <reference field="8" count="1" selected="0">
            <x v="1"/>
          </reference>
        </references>
      </pivotArea>
    </format>
    <format dxfId="55">
      <pivotArea dataOnly="0" labelOnly="1" fieldPosition="0">
        <references count="2">
          <reference field="2" count="0"/>
          <reference field="8" count="1" selected="0">
            <x v="2"/>
          </reference>
        </references>
      </pivotArea>
    </format>
    <format dxfId="54">
      <pivotArea dataOnly="0" labelOnly="1" fieldPosition="0">
        <references count="2">
          <reference field="2" count="0"/>
          <reference field="8" count="1" selected="0">
            <x v="3"/>
          </reference>
        </references>
      </pivotArea>
    </format>
    <format dxfId="53">
      <pivotArea dataOnly="0" labelOnly="1" fieldPosition="0">
        <references count="2">
          <reference field="2" count="0"/>
          <reference field="8" count="1" selected="0">
            <x v="4"/>
          </reference>
        </references>
      </pivotArea>
    </format>
    <format dxfId="52">
      <pivotArea dataOnly="0" labelOnly="1" grandCol="1" outline="0" fieldPosition="0"/>
    </format>
    <format dxfId="19">
      <pivotArea type="all" dataOnly="0" outline="0" fieldPosition="0"/>
    </format>
    <format dxfId="18">
      <pivotArea outline="0" collapsedLevelsAreSubtotals="1" fieldPosition="0"/>
    </format>
    <format dxfId="17">
      <pivotArea dataOnly="0" labelOnly="1" fieldPosition="0">
        <references count="1">
          <reference field="8" count="0"/>
        </references>
      </pivotArea>
    </format>
    <format dxfId="16">
      <pivotArea dataOnly="0" labelOnly="1" grandRow="1" outline="0" fieldPosition="0"/>
    </format>
    <format dxfId="15">
      <pivotArea dataOnly="0" labelOnly="1" fieldPosition="0">
        <references count="2">
          <reference field="2" count="0"/>
          <reference field="8" count="1" selected="0">
            <x v="0"/>
          </reference>
        </references>
      </pivotArea>
    </format>
    <format dxfId="14">
      <pivotArea dataOnly="0" labelOnly="1" fieldPosition="0">
        <references count="2">
          <reference field="2" count="0"/>
          <reference field="8" count="1" selected="0">
            <x v="1"/>
          </reference>
        </references>
      </pivotArea>
    </format>
    <format dxfId="13">
      <pivotArea dataOnly="0" labelOnly="1" fieldPosition="0">
        <references count="2">
          <reference field="2" count="0"/>
          <reference field="8" count="1" selected="0">
            <x v="2"/>
          </reference>
        </references>
      </pivotArea>
    </format>
    <format dxfId="12">
      <pivotArea dataOnly="0" labelOnly="1" fieldPosition="0">
        <references count="2">
          <reference field="2" count="0"/>
          <reference field="8" count="1" selected="0">
            <x v="3"/>
          </reference>
        </references>
      </pivotArea>
    </format>
    <format dxfId="11">
      <pivotArea dataOnly="0" labelOnly="1" fieldPosition="0">
        <references count="2">
          <reference field="2" count="0"/>
          <reference field="8" count="1" selected="0">
            <x v="4"/>
          </reference>
        </references>
      </pivotArea>
    </format>
    <format dxfId="10">
      <pivotArea dataOnly="0" labelOnly="1" outline="0" fieldPosition="0">
        <references count="1">
          <reference field="4294967294" count="2">
            <x v="0"/>
            <x v="1"/>
          </reference>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9" cacheId="0" applyNumberFormats="0" applyBorderFormats="0" applyFontFormats="0" applyPatternFormats="0" applyAlignmentFormats="0" applyWidthHeightFormats="1" dataCaption="Values" grandTotalCaption="total sales" updatedVersion="6" minRefreshableVersion="3" useAutoFormatting="1" colGrandTotals="0" itemPrintTitles="1" createdVersion="6" indent="0" outline="1" outlineData="1" multipleFieldFilters="0" rowHeaderCaption="payment method">
  <location ref="G2:I15" firstHeaderRow="0" firstDataRow="1" firstDataCol="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6">
        <item x="1"/>
        <item h="1" x="3"/>
        <item h="1" x="4"/>
        <item h="1" x="0"/>
        <item h="1" x="2"/>
        <item t="default"/>
      </items>
    </pivotField>
    <pivotField numFmtId="1" showAll="0"/>
    <pivotField numFmtId="1" showAll="0"/>
    <pivotField axis="axisRow" showAll="0">
      <items count="4">
        <item x="2"/>
        <item x="1"/>
        <item x="0"/>
        <item t="default"/>
      </items>
    </pivotField>
    <pivotField axis="axisRow" showAll="0">
      <items count="4">
        <item x="2"/>
        <item x="1"/>
        <item x="0"/>
        <item t="default"/>
      </items>
    </pivotField>
    <pivotField showAll="0">
      <items count="6">
        <item x="3"/>
        <item x="2"/>
        <item x="0"/>
        <item x="1"/>
        <item x="4"/>
        <item t="default"/>
      </items>
    </pivotField>
    <pivotField showAll="0">
      <items count="6">
        <item x="2"/>
        <item x="1"/>
        <item x="4"/>
        <item x="0"/>
        <item x="3"/>
        <item t="default"/>
      </items>
    </pivotField>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2">
    <field x="5"/>
    <field x="6"/>
  </rowFields>
  <rowItems count="13">
    <i>
      <x/>
    </i>
    <i r="1">
      <x/>
    </i>
    <i r="1">
      <x v="1"/>
    </i>
    <i r="1">
      <x v="2"/>
    </i>
    <i>
      <x v="1"/>
    </i>
    <i r="1">
      <x/>
    </i>
    <i r="1">
      <x v="1"/>
    </i>
    <i r="1">
      <x v="2"/>
    </i>
    <i>
      <x v="2"/>
    </i>
    <i r="1">
      <x/>
    </i>
    <i r="1">
      <x v="1"/>
    </i>
    <i r="1">
      <x v="2"/>
    </i>
    <i t="grand">
      <x/>
    </i>
  </rowItems>
  <colFields count="1">
    <field x="-2"/>
  </colFields>
  <colItems count="2">
    <i>
      <x/>
    </i>
    <i i="1">
      <x v="1"/>
    </i>
  </colItems>
  <dataFields count="2">
    <dataField name="total product" fld="2" subtotal="count" baseField="0" baseItem="0"/>
    <dataField name="total sales" fld="9" baseField="0" baseItem="0"/>
  </dataFields>
  <formats count="15">
    <format dxfId="69">
      <pivotArea type="all" dataOnly="0" outline="0" fieldPosition="0"/>
    </format>
    <format dxfId="68">
      <pivotArea outline="0" collapsedLevelsAreSubtotals="1" fieldPosition="0"/>
    </format>
    <format dxfId="67">
      <pivotArea type="origin" dataOnly="0" labelOnly="1" outline="0" fieldPosition="0"/>
    </format>
    <format dxfId="66">
      <pivotArea type="topRight" dataOnly="0" labelOnly="1" outline="0" fieldPosition="0"/>
    </format>
    <format dxfId="65">
      <pivotArea dataOnly="0" labelOnly="1" grandRow="1" outline="0" fieldPosition="0"/>
    </format>
    <format dxfId="64">
      <pivotArea dataOnly="0" labelOnly="1" grandCol="1" outline="0" fieldPosition="0"/>
    </format>
    <format dxfId="33">
      <pivotArea dataOnly="0" labelOnly="1" outline="0" fieldPosition="0">
        <references count="1">
          <reference field="4294967294" count="1">
            <x v="0"/>
          </reference>
        </references>
      </pivotArea>
    </format>
    <format dxfId="9">
      <pivotArea type="all" dataOnly="0" outline="0" fieldPosition="0"/>
    </format>
    <format dxfId="8">
      <pivotArea outline="0" collapsedLevelsAreSubtotals="1" fieldPosition="0"/>
    </format>
    <format dxfId="7">
      <pivotArea dataOnly="0" labelOnly="1" fieldPosition="0">
        <references count="1">
          <reference field="5" count="0"/>
        </references>
      </pivotArea>
    </format>
    <format dxfId="6">
      <pivotArea dataOnly="0" labelOnly="1" grandRow="1" outline="0" fieldPosition="0"/>
    </format>
    <format dxfId="5">
      <pivotArea dataOnly="0" labelOnly="1" fieldPosition="0">
        <references count="2">
          <reference field="5" count="1" selected="0">
            <x v="0"/>
          </reference>
          <reference field="6" count="0"/>
        </references>
      </pivotArea>
    </format>
    <format dxfId="4">
      <pivotArea dataOnly="0" labelOnly="1" fieldPosition="0">
        <references count="2">
          <reference field="5" count="1" selected="0">
            <x v="1"/>
          </reference>
          <reference field="6" count="0"/>
        </references>
      </pivotArea>
    </format>
    <format dxfId="3">
      <pivotArea dataOnly="0" labelOnly="1" fieldPosition="0">
        <references count="2">
          <reference field="5" count="1" selected="0">
            <x v="2"/>
          </reference>
          <reference field="6" count="0"/>
        </references>
      </pivotArea>
    </format>
    <format dxfId="2">
      <pivotArea dataOnly="0" labelOnly="1" outline="0" fieldPosition="0">
        <references count="1">
          <reference field="4294967294" count="2">
            <x v="0"/>
            <x v="1"/>
          </reference>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9" name="PivotTable29"/>
    <pivotTable tabId="9" name="PivotTable1"/>
    <pivotTable tabId="9" name="PivotTable28"/>
    <pivotTable tabId="9" name="PivotTable2"/>
  </pivotTables>
  <data>
    <tabular pivotCacheId="1">
      <items count="368">
        <i x="336" s="1"/>
        <i x="337" s="1"/>
        <i x="338" s="1"/>
        <i x="339" s="1"/>
        <i x="340" s="1"/>
        <i x="341" s="1"/>
        <i x="342" s="1"/>
        <i x="312" s="1"/>
        <i x="343" s="1"/>
        <i x="313" s="1"/>
        <i x="344" s="1"/>
        <i x="314" s="1"/>
        <i x="345" s="1"/>
        <i x="315" s="1"/>
        <i x="346" s="1"/>
        <i x="316" s="1"/>
        <i x="347" s="1"/>
        <i x="317" s="1"/>
        <i x="348" s="1"/>
        <i x="318" s="1"/>
        <i x="349" s="1"/>
        <i x="319" s="1"/>
        <i x="350" s="1"/>
        <i x="320" s="1"/>
        <i x="351" s="1"/>
        <i x="321" s="1"/>
        <i x="352" s="1"/>
        <i x="322" s="1"/>
        <i x="353" s="1"/>
        <i x="323" s="1"/>
        <i x="354" s="1"/>
        <i x="324" s="1"/>
        <i x="355" s="1"/>
        <i x="325" s="1"/>
        <i x="356" s="1"/>
        <i x="326" s="1"/>
        <i x="357" s="1"/>
        <i x="327" s="1"/>
        <i x="358" s="1"/>
        <i x="328" s="1"/>
        <i x="359" s="1"/>
        <i x="329" s="1"/>
        <i x="360" s="1"/>
        <i x="330" s="1"/>
        <i x="361" s="1"/>
        <i x="331" s="1"/>
        <i x="362" s="1"/>
        <i x="332" s="1"/>
        <i x="363" s="1"/>
        <i x="333" s="1"/>
        <i x="364" s="1"/>
        <i x="334" s="1"/>
        <i x="335" s="1"/>
        <i x="0" s="1" nd="1"/>
        <i x="367" s="1" nd="1"/>
        <i x="92" s="1" nd="1"/>
        <i x="214" s="1" nd="1"/>
        <i x="32" s="1" nd="1"/>
        <i x="1" s="1" nd="1"/>
        <i x="183" s="1" nd="1"/>
        <i x="153" s="1" nd="1"/>
        <i x="61" s="1" nd="1"/>
        <i x="122" s="1" nd="1"/>
        <i x="306" s="1" nd="1"/>
        <i x="275" s="1" nd="1"/>
        <i x="245" s="1" nd="1"/>
        <i x="93" s="1" nd="1"/>
        <i x="215" s="1" nd="1"/>
        <i x="33" s="1" nd="1"/>
        <i x="2" s="1" nd="1"/>
        <i x="184" s="1" nd="1"/>
        <i x="154" s="1" nd="1"/>
        <i x="62" s="1" nd="1"/>
        <i x="123" s="1" nd="1"/>
        <i x="307" s="1" nd="1"/>
        <i x="276" s="1" nd="1"/>
        <i x="246" s="1" nd="1"/>
        <i x="94" s="1" nd="1"/>
        <i x="216" s="1" nd="1"/>
        <i x="34" s="1" nd="1"/>
        <i x="3" s="1" nd="1"/>
        <i x="185" s="1" nd="1"/>
        <i x="155" s="1" nd="1"/>
        <i x="63" s="1" nd="1"/>
        <i x="124" s="1" nd="1"/>
        <i x="308" s="1" nd="1"/>
        <i x="277" s="1" nd="1"/>
        <i x="247" s="1" nd="1"/>
        <i x="95" s="1" nd="1"/>
        <i x="217" s="1" nd="1"/>
        <i x="35" s="1" nd="1"/>
        <i x="4" s="1" nd="1"/>
        <i x="186" s="1" nd="1"/>
        <i x="156" s="1" nd="1"/>
        <i x="64" s="1" nd="1"/>
        <i x="125" s="1" nd="1"/>
        <i x="309" s="1" nd="1"/>
        <i x="278" s="1" nd="1"/>
        <i x="248" s="1" nd="1"/>
        <i x="96" s="1" nd="1"/>
        <i x="218" s="1" nd="1"/>
        <i x="36" s="1" nd="1"/>
        <i x="5" s="1" nd="1"/>
        <i x="187" s="1" nd="1"/>
        <i x="157" s="1" nd="1"/>
        <i x="65" s="1" nd="1"/>
        <i x="126" s="1" nd="1"/>
        <i x="310" s="1" nd="1"/>
        <i x="279" s="1" nd="1"/>
        <i x="249" s="1" nd="1"/>
        <i x="97" s="1" nd="1"/>
        <i x="219" s="1" nd="1"/>
        <i x="37" s="1" nd="1"/>
        <i x="6" s="1" nd="1"/>
        <i x="188" s="1" nd="1"/>
        <i x="158" s="1" nd="1"/>
        <i x="66" s="1" nd="1"/>
        <i x="127" s="1" nd="1"/>
        <i x="311" s="1" nd="1"/>
        <i x="280" s="1" nd="1"/>
        <i x="250" s="1" nd="1"/>
        <i x="98" s="1" nd="1"/>
        <i x="220" s="1" nd="1"/>
        <i x="38" s="1" nd="1"/>
        <i x="7" s="1" nd="1"/>
        <i x="189" s="1" nd="1"/>
        <i x="159" s="1" nd="1"/>
        <i x="67" s="1" nd="1"/>
        <i x="128" s="1" nd="1"/>
        <i x="281" s="1" nd="1"/>
        <i x="251" s="1" nd="1"/>
        <i x="99" s="1" nd="1"/>
        <i x="221" s="1" nd="1"/>
        <i x="39" s="1" nd="1"/>
        <i x="8" s="1" nd="1"/>
        <i x="190" s="1" nd="1"/>
        <i x="160" s="1" nd="1"/>
        <i x="68" s="1" nd="1"/>
        <i x="129" s="1" nd="1"/>
        <i x="282" s="1" nd="1"/>
        <i x="252" s="1" nd="1"/>
        <i x="100" s="1" nd="1"/>
        <i x="222" s="1" nd="1"/>
        <i x="40" s="1" nd="1"/>
        <i x="9" s="1" nd="1"/>
        <i x="191" s="1" nd="1"/>
        <i x="161" s="1" nd="1"/>
        <i x="69" s="1" nd="1"/>
        <i x="130" s="1" nd="1"/>
        <i x="283" s="1" nd="1"/>
        <i x="253" s="1" nd="1"/>
        <i x="101" s="1" nd="1"/>
        <i x="223" s="1" nd="1"/>
        <i x="41" s="1" nd="1"/>
        <i x="10" s="1" nd="1"/>
        <i x="192" s="1" nd="1"/>
        <i x="162" s="1" nd="1"/>
        <i x="70" s="1" nd="1"/>
        <i x="131" s="1" nd="1"/>
        <i x="284" s="1" nd="1"/>
        <i x="254" s="1" nd="1"/>
        <i x="102" s="1" nd="1"/>
        <i x="224" s="1" nd="1"/>
        <i x="42" s="1" nd="1"/>
        <i x="11" s="1" nd="1"/>
        <i x="193" s="1" nd="1"/>
        <i x="163" s="1" nd="1"/>
        <i x="71" s="1" nd="1"/>
        <i x="132" s="1" nd="1"/>
        <i x="285" s="1" nd="1"/>
        <i x="255" s="1" nd="1"/>
        <i x="103" s="1" nd="1"/>
        <i x="225" s="1" nd="1"/>
        <i x="43" s="1" nd="1"/>
        <i x="12" s="1" nd="1"/>
        <i x="194" s="1" nd="1"/>
        <i x="164" s="1" nd="1"/>
        <i x="72" s="1" nd="1"/>
        <i x="133" s="1" nd="1"/>
        <i x="286" s="1" nd="1"/>
        <i x="256" s="1" nd="1"/>
        <i x="104" s="1" nd="1"/>
        <i x="226" s="1" nd="1"/>
        <i x="44" s="1" nd="1"/>
        <i x="13" s="1" nd="1"/>
        <i x="195" s="1" nd="1"/>
        <i x="165" s="1" nd="1"/>
        <i x="73" s="1" nd="1"/>
        <i x="134" s="1" nd="1"/>
        <i x="287" s="1" nd="1"/>
        <i x="257" s="1" nd="1"/>
        <i x="105" s="1" nd="1"/>
        <i x="227" s="1" nd="1"/>
        <i x="45" s="1" nd="1"/>
        <i x="14" s="1" nd="1"/>
        <i x="196" s="1" nd="1"/>
        <i x="166" s="1" nd="1"/>
        <i x="74" s="1" nd="1"/>
        <i x="135" s="1" nd="1"/>
        <i x="288" s="1" nd="1"/>
        <i x="258" s="1" nd="1"/>
        <i x="106" s="1" nd="1"/>
        <i x="228" s="1" nd="1"/>
        <i x="46" s="1" nd="1"/>
        <i x="15" s="1" nd="1"/>
        <i x="197" s="1" nd="1"/>
        <i x="167" s="1" nd="1"/>
        <i x="75" s="1" nd="1"/>
        <i x="136" s="1" nd="1"/>
        <i x="289" s="1" nd="1"/>
        <i x="259" s="1" nd="1"/>
        <i x="107" s="1" nd="1"/>
        <i x="229" s="1" nd="1"/>
        <i x="47" s="1" nd="1"/>
        <i x="16" s="1" nd="1"/>
        <i x="198" s="1" nd="1"/>
        <i x="168" s="1" nd="1"/>
        <i x="76" s="1" nd="1"/>
        <i x="137" s="1" nd="1"/>
        <i x="290" s="1" nd="1"/>
        <i x="260" s="1" nd="1"/>
        <i x="108" s="1" nd="1"/>
        <i x="230" s="1" nd="1"/>
        <i x="48" s="1" nd="1"/>
        <i x="17" s="1" nd="1"/>
        <i x="199" s="1" nd="1"/>
        <i x="169" s="1" nd="1"/>
        <i x="77" s="1" nd="1"/>
        <i x="138" s="1" nd="1"/>
        <i x="291" s="1" nd="1"/>
        <i x="261" s="1" nd="1"/>
        <i x="109" s="1" nd="1"/>
        <i x="231" s="1" nd="1"/>
        <i x="49" s="1" nd="1"/>
        <i x="18" s="1" nd="1"/>
        <i x="200" s="1" nd="1"/>
        <i x="170" s="1" nd="1"/>
        <i x="78" s="1" nd="1"/>
        <i x="139" s="1" nd="1"/>
        <i x="292" s="1" nd="1"/>
        <i x="262" s="1" nd="1"/>
        <i x="110" s="1" nd="1"/>
        <i x="232" s="1" nd="1"/>
        <i x="50" s="1" nd="1"/>
        <i x="19" s="1" nd="1"/>
        <i x="201" s="1" nd="1"/>
        <i x="171" s="1" nd="1"/>
        <i x="79" s="1" nd="1"/>
        <i x="140" s="1" nd="1"/>
        <i x="293" s="1" nd="1"/>
        <i x="263" s="1" nd="1"/>
        <i x="111" s="1" nd="1"/>
        <i x="233" s="1" nd="1"/>
        <i x="51" s="1" nd="1"/>
        <i x="20" s="1" nd="1"/>
        <i x="202" s="1" nd="1"/>
        <i x="172" s="1" nd="1"/>
        <i x="80" s="1" nd="1"/>
        <i x="141" s="1" nd="1"/>
        <i x="294" s="1" nd="1"/>
        <i x="264" s="1" nd="1"/>
        <i x="112" s="1" nd="1"/>
        <i x="234" s="1" nd="1"/>
        <i x="52" s="1" nd="1"/>
        <i x="21" s="1" nd="1"/>
        <i x="203" s="1" nd="1"/>
        <i x="173" s="1" nd="1"/>
        <i x="81" s="1" nd="1"/>
        <i x="142" s="1" nd="1"/>
        <i x="295" s="1" nd="1"/>
        <i x="265" s="1" nd="1"/>
        <i x="113" s="1" nd="1"/>
        <i x="235" s="1" nd="1"/>
        <i x="53" s="1" nd="1"/>
        <i x="22" s="1" nd="1"/>
        <i x="204" s="1" nd="1"/>
        <i x="174" s="1" nd="1"/>
        <i x="82" s="1" nd="1"/>
        <i x="143" s="1" nd="1"/>
        <i x="296" s="1" nd="1"/>
        <i x="266" s="1" nd="1"/>
        <i x="114" s="1" nd="1"/>
        <i x="236" s="1" nd="1"/>
        <i x="54" s="1" nd="1"/>
        <i x="23" s="1" nd="1"/>
        <i x="205" s="1" nd="1"/>
        <i x="175" s="1" nd="1"/>
        <i x="83" s="1" nd="1"/>
        <i x="144" s="1" nd="1"/>
        <i x="297" s="1" nd="1"/>
        <i x="267" s="1" nd="1"/>
        <i x="115" s="1" nd="1"/>
        <i x="237" s="1" nd="1"/>
        <i x="55" s="1" nd="1"/>
        <i x="24" s="1" nd="1"/>
        <i x="206" s="1" nd="1"/>
        <i x="176" s="1" nd="1"/>
        <i x="84" s="1" nd="1"/>
        <i x="145" s="1" nd="1"/>
        <i x="298" s="1" nd="1"/>
        <i x="268" s="1" nd="1"/>
        <i x="116" s="1" nd="1"/>
        <i x="238" s="1" nd="1"/>
        <i x="56" s="1" nd="1"/>
        <i x="25" s="1" nd="1"/>
        <i x="207" s="1" nd="1"/>
        <i x="177" s="1" nd="1"/>
        <i x="85" s="1" nd="1"/>
        <i x="146" s="1" nd="1"/>
        <i x="299" s="1" nd="1"/>
        <i x="269" s="1" nd="1"/>
        <i x="117" s="1" nd="1"/>
        <i x="239" s="1" nd="1"/>
        <i x="57" s="1" nd="1"/>
        <i x="26" s="1" nd="1"/>
        <i x="208" s="1" nd="1"/>
        <i x="178" s="1" nd="1"/>
        <i x="86" s="1" nd="1"/>
        <i x="147" s="1" nd="1"/>
        <i x="300" s="1" nd="1"/>
        <i x="270" s="1" nd="1"/>
        <i x="118" s="1" nd="1"/>
        <i x="240" s="1" nd="1"/>
        <i x="58" s="1" nd="1"/>
        <i x="27" s="1" nd="1"/>
        <i x="209" s="1" nd="1"/>
        <i x="179" s="1" nd="1"/>
        <i x="87" s="1" nd="1"/>
        <i x="148" s="1" nd="1"/>
        <i x="301" s="1" nd="1"/>
        <i x="271" s="1" nd="1"/>
        <i x="119" s="1" nd="1"/>
        <i x="241" s="1" nd="1"/>
        <i x="59" s="1" nd="1"/>
        <i x="28" s="1" nd="1"/>
        <i x="210" s="1" nd="1"/>
        <i x="180" s="1" nd="1"/>
        <i x="88" s="1" nd="1"/>
        <i x="149" s="1" nd="1"/>
        <i x="302" s="1" nd="1"/>
        <i x="272" s="1" nd="1"/>
        <i x="120" s="1" nd="1"/>
        <i x="242" s="1" nd="1"/>
        <i x="60" s="1" nd="1"/>
        <i x="29" s="1" nd="1"/>
        <i x="211" s="1" nd="1"/>
        <i x="181" s="1" nd="1"/>
        <i x="89" s="1" nd="1"/>
        <i x="150" s="1" nd="1"/>
        <i x="303" s="1" nd="1"/>
        <i x="273" s="1" nd="1"/>
        <i x="121" s="1" nd="1"/>
        <i x="243" s="1" nd="1"/>
        <i x="365" s="1" nd="1"/>
        <i x="30" s="1" nd="1"/>
        <i x="212" s="1" nd="1"/>
        <i x="182" s="1" nd="1"/>
        <i x="90" s="1" nd="1"/>
        <i x="151" s="1" nd="1"/>
        <i x="304" s="1" nd="1"/>
        <i x="274" s="1" nd="1"/>
        <i x="244" s="1" nd="1"/>
        <i x="366" s="1" nd="1"/>
        <i x="31" s="1" nd="1"/>
        <i x="213" s="1" nd="1"/>
        <i x="91" s="1" nd="1"/>
        <i x="152" s="1" nd="1"/>
        <i x="30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9" name="PivotTable29"/>
    <pivotTable tabId="9" name="PivotTable1"/>
    <pivotTable tabId="9" name="PivotTable28"/>
    <pivotTable tabId="9" name="PivotTable2"/>
  </pivotTables>
  <data>
    <tabular pivotCacheId="1">
      <items count="5">
        <i x="3" s="1"/>
        <i x="2"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rowHeight="241300"/>
  <slicer name="City" cache="Slicer_City" caption="City" rowHeight="241300"/>
</slicers>
</file>

<file path=xl/tables/table1.xml><?xml version="1.0" encoding="utf-8"?>
<table xmlns="http://schemas.openxmlformats.org/spreadsheetml/2006/main" id="1" name="Table1" displayName="Table1" ref="A1:J255" totalsRowShown="0">
  <autoFilter ref="A1:J255"/>
  <tableColumns count="10">
    <tableColumn id="1" name="Order ID"/>
    <tableColumn id="2" name="Date" dataDxfId="51"/>
    <tableColumn id="3" name="Product"/>
    <tableColumn id="4" name="Price" dataDxfId="50"/>
    <tableColumn id="5" name="Quantity" dataDxfId="49"/>
    <tableColumn id="6" name="Purchase Type"/>
    <tableColumn id="7" name="Payment Method"/>
    <tableColumn id="8" name="City"/>
    <tableColumn id="9" name="Manager"/>
    <tableColumn id="10" name="total price" dataDxfId="48">
      <calculatedColumnFormula>Table1[[#This Row],[Quantity]]*Table1[[#This Row],[Price]]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5"/>
  <sheetViews>
    <sheetView zoomScale="92" workbookViewId="0">
      <selection activeCell="M8" sqref="M8"/>
    </sheetView>
  </sheetViews>
  <sheetFormatPr defaultRowHeight="14.5" x14ac:dyDescent="0.35"/>
  <cols>
    <col min="1" max="1" width="10" customWidth="1"/>
    <col min="2" max="2" width="10.08984375" bestFit="1" customWidth="1"/>
    <col min="3" max="3" width="17.6328125" bestFit="1" customWidth="1"/>
    <col min="4" max="4" width="8" style="2" customWidth="1"/>
    <col min="5" max="5" width="10.1796875" style="2" customWidth="1"/>
    <col min="6" max="6" width="14.90625" customWidth="1"/>
    <col min="7" max="7" width="17.453125" customWidth="1"/>
    <col min="8" max="8" width="7.08984375" bestFit="1" customWidth="1"/>
    <col min="9" max="9" width="12.36328125" bestFit="1" customWidth="1"/>
    <col min="10" max="10" width="8.7265625" style="2"/>
  </cols>
  <sheetData>
    <row r="1" spans="1:10" x14ac:dyDescent="0.35">
      <c r="A1" t="s">
        <v>0</v>
      </c>
      <c r="B1" t="s">
        <v>1</v>
      </c>
      <c r="C1" t="s">
        <v>2</v>
      </c>
      <c r="D1" s="2" t="s">
        <v>3</v>
      </c>
      <c r="E1" s="2" t="s">
        <v>4</v>
      </c>
      <c r="F1" t="s">
        <v>5</v>
      </c>
      <c r="G1" t="s">
        <v>6</v>
      </c>
      <c r="H1" t="s">
        <v>8</v>
      </c>
      <c r="I1" t="s">
        <v>7</v>
      </c>
      <c r="J1" s="2" t="s">
        <v>30</v>
      </c>
    </row>
    <row r="2" spans="1:10" x14ac:dyDescent="0.35">
      <c r="A2">
        <v>10452</v>
      </c>
      <c r="B2" s="1">
        <v>44872</v>
      </c>
      <c r="C2" t="s">
        <v>9</v>
      </c>
      <c r="D2" s="2">
        <v>3.49</v>
      </c>
      <c r="E2" s="2">
        <v>573.07000000000005</v>
      </c>
      <c r="F2" t="s">
        <v>10</v>
      </c>
      <c r="G2" t="s">
        <v>11</v>
      </c>
      <c r="H2" t="s">
        <v>12</v>
      </c>
      <c r="I2" t="s">
        <v>29</v>
      </c>
      <c r="J2" s="2">
        <f>Table1[[#This Row],[Quantity]]*Table1[[#This Row],[Price]]</f>
        <v>2000.0143000000003</v>
      </c>
    </row>
    <row r="3" spans="1:10" x14ac:dyDescent="0.35">
      <c r="A3">
        <v>10453</v>
      </c>
      <c r="B3" s="1">
        <v>44872</v>
      </c>
      <c r="C3" t="s">
        <v>13</v>
      </c>
      <c r="D3" s="2">
        <v>2.95</v>
      </c>
      <c r="E3" s="2">
        <v>745.76</v>
      </c>
      <c r="F3" t="s">
        <v>10</v>
      </c>
      <c r="G3" t="s">
        <v>11</v>
      </c>
      <c r="H3" t="s">
        <v>14</v>
      </c>
      <c r="I3" t="s">
        <v>25</v>
      </c>
      <c r="J3" s="2">
        <f>Table1[[#This Row],[Quantity]]*Table1[[#This Row],[Price]]</f>
        <v>2199.9920000000002</v>
      </c>
    </row>
    <row r="4" spans="1:10" x14ac:dyDescent="0.35">
      <c r="A4">
        <v>10454</v>
      </c>
      <c r="B4" s="1">
        <v>44872</v>
      </c>
      <c r="C4" t="s">
        <v>15</v>
      </c>
      <c r="D4" s="2">
        <v>4.99</v>
      </c>
      <c r="E4" s="2">
        <v>200.4</v>
      </c>
      <c r="F4" t="s">
        <v>16</v>
      </c>
      <c r="G4" t="s">
        <v>11</v>
      </c>
      <c r="H4" t="s">
        <v>17</v>
      </c>
      <c r="I4" t="s">
        <v>26</v>
      </c>
      <c r="J4" s="2">
        <f>Table1[[#This Row],[Quantity]]*Table1[[#This Row],[Price]]</f>
        <v>999.99600000000009</v>
      </c>
    </row>
    <row r="5" spans="1:10" x14ac:dyDescent="0.35">
      <c r="A5">
        <v>10455</v>
      </c>
      <c r="B5" s="1">
        <v>44873</v>
      </c>
      <c r="C5" t="s">
        <v>18</v>
      </c>
      <c r="D5" s="2">
        <v>12.99</v>
      </c>
      <c r="E5" s="2">
        <v>569.66999999999996</v>
      </c>
      <c r="F5" t="s">
        <v>16</v>
      </c>
      <c r="G5" t="s">
        <v>19</v>
      </c>
      <c r="H5" t="s">
        <v>21</v>
      </c>
      <c r="I5" t="s">
        <v>20</v>
      </c>
      <c r="J5" s="2">
        <f>Table1[[#This Row],[Quantity]]*Table1[[#This Row],[Price]]</f>
        <v>7400.0132999999996</v>
      </c>
    </row>
    <row r="6" spans="1:10" x14ac:dyDescent="0.35">
      <c r="A6">
        <v>10456</v>
      </c>
      <c r="B6" s="1">
        <v>44873</v>
      </c>
      <c r="C6" t="s">
        <v>22</v>
      </c>
      <c r="D6" s="2">
        <v>9.9499999999999993</v>
      </c>
      <c r="E6" s="2">
        <v>201.01</v>
      </c>
      <c r="F6" t="s">
        <v>16</v>
      </c>
      <c r="G6" t="s">
        <v>19</v>
      </c>
      <c r="H6" t="s">
        <v>21</v>
      </c>
      <c r="I6" t="s">
        <v>20</v>
      </c>
      <c r="J6" s="2">
        <f>Table1[[#This Row],[Quantity]]*Table1[[#This Row],[Price]]</f>
        <v>2000.0494999999999</v>
      </c>
    </row>
    <row r="7" spans="1:10" x14ac:dyDescent="0.35">
      <c r="A7">
        <v>10457</v>
      </c>
      <c r="B7" s="1">
        <v>44873</v>
      </c>
      <c r="C7" t="s">
        <v>9</v>
      </c>
      <c r="D7" s="2">
        <v>3.49</v>
      </c>
      <c r="E7" s="2">
        <v>573.07000000000005</v>
      </c>
      <c r="F7" t="s">
        <v>16</v>
      </c>
      <c r="G7" t="s">
        <v>19</v>
      </c>
      <c r="H7" t="s">
        <v>23</v>
      </c>
      <c r="I7" t="s">
        <v>24</v>
      </c>
      <c r="J7" s="2">
        <f>Table1[[#This Row],[Quantity]]*Table1[[#This Row],[Price]]</f>
        <v>2000.0143000000003</v>
      </c>
    </row>
    <row r="8" spans="1:10" x14ac:dyDescent="0.35">
      <c r="A8">
        <v>10459</v>
      </c>
      <c r="B8" s="1">
        <v>44873</v>
      </c>
      <c r="C8" t="s">
        <v>15</v>
      </c>
      <c r="D8" s="2">
        <v>4.99</v>
      </c>
      <c r="E8" s="2">
        <v>200.4</v>
      </c>
      <c r="F8" t="s">
        <v>16</v>
      </c>
      <c r="G8" t="s">
        <v>19</v>
      </c>
      <c r="H8" t="s">
        <v>21</v>
      </c>
      <c r="I8" t="s">
        <v>20</v>
      </c>
      <c r="J8" s="2">
        <f>Table1[[#This Row],[Quantity]]*Table1[[#This Row],[Price]]</f>
        <v>999.99600000000009</v>
      </c>
    </row>
    <row r="9" spans="1:10" x14ac:dyDescent="0.35">
      <c r="A9">
        <v>10460</v>
      </c>
      <c r="B9" s="1">
        <v>44874</v>
      </c>
      <c r="C9" t="s">
        <v>18</v>
      </c>
      <c r="D9" s="2">
        <v>12.99</v>
      </c>
      <c r="E9" s="2">
        <v>554.27</v>
      </c>
      <c r="F9" t="s">
        <v>16</v>
      </c>
      <c r="G9" t="s">
        <v>19</v>
      </c>
      <c r="H9" t="s">
        <v>23</v>
      </c>
      <c r="I9" t="s">
        <v>24</v>
      </c>
      <c r="J9" s="2">
        <f>Table1[[#This Row],[Quantity]]*Table1[[#This Row],[Price]]</f>
        <v>7199.9673000000003</v>
      </c>
    </row>
    <row r="10" spans="1:10" x14ac:dyDescent="0.35">
      <c r="A10">
        <v>10461</v>
      </c>
      <c r="B10" s="1">
        <v>44874</v>
      </c>
      <c r="C10" t="s">
        <v>22</v>
      </c>
      <c r="D10" s="2">
        <v>9.9499999999999993</v>
      </c>
      <c r="E10" s="2">
        <v>201.01</v>
      </c>
      <c r="F10" t="s">
        <v>16</v>
      </c>
      <c r="G10" t="s">
        <v>19</v>
      </c>
      <c r="H10" t="s">
        <v>23</v>
      </c>
      <c r="I10" t="s">
        <v>24</v>
      </c>
      <c r="J10" s="2">
        <f>Table1[[#This Row],[Quantity]]*Table1[[#This Row],[Price]]</f>
        <v>2000.0494999999999</v>
      </c>
    </row>
    <row r="11" spans="1:10" x14ac:dyDescent="0.35">
      <c r="A11">
        <v>10462</v>
      </c>
      <c r="B11" s="1">
        <v>44874</v>
      </c>
      <c r="C11" t="s">
        <v>9</v>
      </c>
      <c r="D11" s="2">
        <v>3.49</v>
      </c>
      <c r="E11" s="2">
        <v>573.07000000000005</v>
      </c>
      <c r="F11" t="s">
        <v>16</v>
      </c>
      <c r="G11" t="s">
        <v>19</v>
      </c>
      <c r="H11" t="s">
        <v>23</v>
      </c>
      <c r="I11" t="s">
        <v>24</v>
      </c>
      <c r="J11" s="2">
        <f>Table1[[#This Row],[Quantity]]*Table1[[#This Row],[Price]]</f>
        <v>2000.0143000000003</v>
      </c>
    </row>
    <row r="12" spans="1:10" x14ac:dyDescent="0.35">
      <c r="A12">
        <v>10463</v>
      </c>
      <c r="B12" s="1">
        <v>44874</v>
      </c>
      <c r="C12" t="s">
        <v>13</v>
      </c>
      <c r="D12" s="2">
        <v>2.95</v>
      </c>
      <c r="E12" s="2">
        <v>677.97</v>
      </c>
      <c r="F12" t="s">
        <v>16</v>
      </c>
      <c r="G12" t="s">
        <v>19</v>
      </c>
      <c r="H12" t="s">
        <v>23</v>
      </c>
      <c r="I12" t="s">
        <v>24</v>
      </c>
      <c r="J12" s="2">
        <f>Table1[[#This Row],[Quantity]]*Table1[[#This Row],[Price]]</f>
        <v>2000.0115000000003</v>
      </c>
    </row>
    <row r="13" spans="1:10" x14ac:dyDescent="0.35">
      <c r="A13">
        <v>10464</v>
      </c>
      <c r="B13" s="1">
        <v>44874</v>
      </c>
      <c r="C13" t="s">
        <v>15</v>
      </c>
      <c r="D13" s="2">
        <v>4.99</v>
      </c>
      <c r="E13" s="2">
        <v>200.4</v>
      </c>
      <c r="F13" t="s">
        <v>16</v>
      </c>
      <c r="G13" t="s">
        <v>19</v>
      </c>
      <c r="H13" t="s">
        <v>23</v>
      </c>
      <c r="I13" t="s">
        <v>24</v>
      </c>
      <c r="J13" s="2">
        <f>Table1[[#This Row],[Quantity]]*Table1[[#This Row],[Price]]</f>
        <v>999.99600000000009</v>
      </c>
    </row>
    <row r="14" spans="1:10" x14ac:dyDescent="0.35">
      <c r="A14">
        <v>10465</v>
      </c>
      <c r="B14" s="1">
        <v>44875</v>
      </c>
      <c r="C14" t="s">
        <v>18</v>
      </c>
      <c r="D14" s="2">
        <v>12.99</v>
      </c>
      <c r="E14" s="2">
        <v>554.27</v>
      </c>
      <c r="F14" t="s">
        <v>16</v>
      </c>
      <c r="G14" t="s">
        <v>19</v>
      </c>
      <c r="H14" t="s">
        <v>14</v>
      </c>
      <c r="I14" t="s">
        <v>25</v>
      </c>
      <c r="J14" s="2">
        <f>Table1[[#This Row],[Quantity]]*Table1[[#This Row],[Price]]</f>
        <v>7199.9673000000003</v>
      </c>
    </row>
    <row r="15" spans="1:10" x14ac:dyDescent="0.35">
      <c r="A15">
        <v>10466</v>
      </c>
      <c r="B15" s="1">
        <v>44875</v>
      </c>
      <c r="C15" t="s">
        <v>22</v>
      </c>
      <c r="D15" s="2">
        <v>9.9499999999999993</v>
      </c>
      <c r="E15" s="2">
        <v>201.01</v>
      </c>
      <c r="F15" t="s">
        <v>16</v>
      </c>
      <c r="G15" t="s">
        <v>19</v>
      </c>
      <c r="H15" t="s">
        <v>14</v>
      </c>
      <c r="I15" t="s">
        <v>25</v>
      </c>
      <c r="J15" s="2">
        <f>Table1[[#This Row],[Quantity]]*Table1[[#This Row],[Price]]</f>
        <v>2000.0494999999999</v>
      </c>
    </row>
    <row r="16" spans="1:10" x14ac:dyDescent="0.35">
      <c r="A16">
        <v>10467</v>
      </c>
      <c r="B16" s="1">
        <v>44875</v>
      </c>
      <c r="C16" t="s">
        <v>9</v>
      </c>
      <c r="D16" s="2">
        <v>3.49</v>
      </c>
      <c r="E16" s="2">
        <v>573.07000000000005</v>
      </c>
      <c r="F16" t="s">
        <v>16</v>
      </c>
      <c r="G16" t="s">
        <v>19</v>
      </c>
      <c r="H16" t="s">
        <v>14</v>
      </c>
      <c r="I16" t="s">
        <v>25</v>
      </c>
      <c r="J16" s="2">
        <f>Table1[[#This Row],[Quantity]]*Table1[[#This Row],[Price]]</f>
        <v>2000.0143000000003</v>
      </c>
    </row>
    <row r="17" spans="1:10" x14ac:dyDescent="0.35">
      <c r="A17">
        <v>10468</v>
      </c>
      <c r="B17" s="1">
        <v>44875</v>
      </c>
      <c r="C17" t="s">
        <v>13</v>
      </c>
      <c r="D17" s="2">
        <v>2.95</v>
      </c>
      <c r="E17" s="2">
        <v>677.97</v>
      </c>
      <c r="F17" t="s">
        <v>16</v>
      </c>
      <c r="G17" t="s">
        <v>19</v>
      </c>
      <c r="H17" t="s">
        <v>14</v>
      </c>
      <c r="I17" t="s">
        <v>25</v>
      </c>
      <c r="J17" s="2">
        <f>Table1[[#This Row],[Quantity]]*Table1[[#This Row],[Price]]</f>
        <v>2000.0115000000003</v>
      </c>
    </row>
    <row r="18" spans="1:10" x14ac:dyDescent="0.35">
      <c r="A18">
        <v>10470</v>
      </c>
      <c r="B18" s="1">
        <v>44876</v>
      </c>
      <c r="C18" t="s">
        <v>18</v>
      </c>
      <c r="D18" s="2">
        <v>12.99</v>
      </c>
      <c r="E18" s="2">
        <v>554.27</v>
      </c>
      <c r="F18" t="s">
        <v>16</v>
      </c>
      <c r="G18" t="s">
        <v>19</v>
      </c>
      <c r="H18" t="s">
        <v>14</v>
      </c>
      <c r="I18" t="s">
        <v>25</v>
      </c>
      <c r="J18" s="2">
        <f>Table1[[#This Row],[Quantity]]*Table1[[#This Row],[Price]]</f>
        <v>7199.9673000000003</v>
      </c>
    </row>
    <row r="19" spans="1:10" x14ac:dyDescent="0.35">
      <c r="A19">
        <v>10471</v>
      </c>
      <c r="B19" s="1">
        <v>44876</v>
      </c>
      <c r="C19" t="s">
        <v>22</v>
      </c>
      <c r="D19" s="2">
        <v>9.9499999999999993</v>
      </c>
      <c r="E19" s="2">
        <v>201.01</v>
      </c>
      <c r="F19" t="s">
        <v>16</v>
      </c>
      <c r="G19" t="s">
        <v>19</v>
      </c>
      <c r="H19" t="s">
        <v>14</v>
      </c>
      <c r="I19" t="s">
        <v>25</v>
      </c>
      <c r="J19" s="2">
        <f>Table1[[#This Row],[Quantity]]*Table1[[#This Row],[Price]]</f>
        <v>2000.0494999999999</v>
      </c>
    </row>
    <row r="20" spans="1:10" x14ac:dyDescent="0.35">
      <c r="A20">
        <v>10472</v>
      </c>
      <c r="B20" s="1">
        <v>44876</v>
      </c>
      <c r="C20" t="s">
        <v>9</v>
      </c>
      <c r="D20" s="2">
        <v>3.49</v>
      </c>
      <c r="E20" s="2">
        <v>630.37</v>
      </c>
      <c r="F20" t="s">
        <v>16</v>
      </c>
      <c r="G20" t="s">
        <v>19</v>
      </c>
      <c r="H20" t="s">
        <v>14</v>
      </c>
      <c r="I20" t="s">
        <v>25</v>
      </c>
      <c r="J20" s="2">
        <f>Table1[[#This Row],[Quantity]]*Table1[[#This Row],[Price]]</f>
        <v>2199.9913000000001</v>
      </c>
    </row>
    <row r="21" spans="1:10" x14ac:dyDescent="0.35">
      <c r="A21">
        <v>10473</v>
      </c>
      <c r="B21" s="1">
        <v>44876</v>
      </c>
      <c r="C21" t="s">
        <v>13</v>
      </c>
      <c r="D21" s="2">
        <v>2.95</v>
      </c>
      <c r="E21" s="2">
        <v>677.97</v>
      </c>
      <c r="F21" t="s">
        <v>16</v>
      </c>
      <c r="G21" t="s">
        <v>19</v>
      </c>
      <c r="H21" t="s">
        <v>14</v>
      </c>
      <c r="I21" t="s">
        <v>25</v>
      </c>
      <c r="J21" s="2">
        <f>Table1[[#This Row],[Quantity]]*Table1[[#This Row],[Price]]</f>
        <v>2000.0115000000003</v>
      </c>
    </row>
    <row r="22" spans="1:10" x14ac:dyDescent="0.35">
      <c r="A22">
        <v>10474</v>
      </c>
      <c r="B22" s="1">
        <v>44876</v>
      </c>
      <c r="C22" t="s">
        <v>15</v>
      </c>
      <c r="D22" s="2">
        <v>4.99</v>
      </c>
      <c r="E22" s="2">
        <v>200.4</v>
      </c>
      <c r="F22" t="s">
        <v>16</v>
      </c>
      <c r="G22" t="s">
        <v>19</v>
      </c>
      <c r="H22" t="s">
        <v>14</v>
      </c>
      <c r="I22" t="s">
        <v>25</v>
      </c>
      <c r="J22" s="2">
        <f>Table1[[#This Row],[Quantity]]*Table1[[#This Row],[Price]]</f>
        <v>999.99600000000009</v>
      </c>
    </row>
    <row r="23" spans="1:10" x14ac:dyDescent="0.35">
      <c r="A23">
        <v>10475</v>
      </c>
      <c r="B23" s="1">
        <v>44877</v>
      </c>
      <c r="C23" t="s">
        <v>18</v>
      </c>
      <c r="D23" s="2">
        <v>12.99</v>
      </c>
      <c r="E23" s="2">
        <v>523.48</v>
      </c>
      <c r="F23" t="s">
        <v>16</v>
      </c>
      <c r="G23" t="s">
        <v>19</v>
      </c>
      <c r="H23" t="s">
        <v>14</v>
      </c>
      <c r="I23" t="s">
        <v>25</v>
      </c>
      <c r="J23" s="2">
        <f>Table1[[#This Row],[Quantity]]*Table1[[#This Row],[Price]]</f>
        <v>6800.0052000000005</v>
      </c>
    </row>
    <row r="24" spans="1:10" x14ac:dyDescent="0.35">
      <c r="A24">
        <v>10476</v>
      </c>
      <c r="B24" s="1">
        <v>44877</v>
      </c>
      <c r="C24" t="s">
        <v>22</v>
      </c>
      <c r="D24" s="2">
        <v>9.9499999999999993</v>
      </c>
      <c r="E24" s="2">
        <v>201.01</v>
      </c>
      <c r="F24" t="s">
        <v>16</v>
      </c>
      <c r="G24" t="s">
        <v>19</v>
      </c>
      <c r="H24" t="s">
        <v>14</v>
      </c>
      <c r="I24" t="s">
        <v>25</v>
      </c>
      <c r="J24" s="2">
        <f>Table1[[#This Row],[Quantity]]*Table1[[#This Row],[Price]]</f>
        <v>2000.0494999999999</v>
      </c>
    </row>
    <row r="25" spans="1:10" x14ac:dyDescent="0.35">
      <c r="A25">
        <v>10477</v>
      </c>
      <c r="B25" s="1">
        <v>44877</v>
      </c>
      <c r="C25" t="s">
        <v>9</v>
      </c>
      <c r="D25" s="2">
        <v>3.49</v>
      </c>
      <c r="E25" s="2">
        <v>630.37</v>
      </c>
      <c r="F25" t="s">
        <v>16</v>
      </c>
      <c r="G25" t="s">
        <v>19</v>
      </c>
      <c r="H25" t="s">
        <v>14</v>
      </c>
      <c r="I25" t="s">
        <v>25</v>
      </c>
      <c r="J25" s="2">
        <f>Table1[[#This Row],[Quantity]]*Table1[[#This Row],[Price]]</f>
        <v>2199.9913000000001</v>
      </c>
    </row>
    <row r="26" spans="1:10" x14ac:dyDescent="0.35">
      <c r="A26">
        <v>10478</v>
      </c>
      <c r="B26" s="1">
        <v>44877</v>
      </c>
      <c r="C26" t="s">
        <v>13</v>
      </c>
      <c r="D26" s="2">
        <v>2.95</v>
      </c>
      <c r="E26" s="2">
        <v>677.97</v>
      </c>
      <c r="F26" t="s">
        <v>16</v>
      </c>
      <c r="G26" t="s">
        <v>19</v>
      </c>
      <c r="H26" t="s">
        <v>14</v>
      </c>
      <c r="I26" t="s">
        <v>25</v>
      </c>
      <c r="J26" s="2">
        <f>Table1[[#This Row],[Quantity]]*Table1[[#This Row],[Price]]</f>
        <v>2000.0115000000003</v>
      </c>
    </row>
    <row r="27" spans="1:10" x14ac:dyDescent="0.35">
      <c r="A27">
        <v>10479</v>
      </c>
      <c r="B27" s="1">
        <v>44877</v>
      </c>
      <c r="C27" t="s">
        <v>15</v>
      </c>
      <c r="D27" s="2">
        <v>4.99</v>
      </c>
      <c r="E27" s="2">
        <v>200.4</v>
      </c>
      <c r="F27" t="s">
        <v>16</v>
      </c>
      <c r="G27" t="s">
        <v>19</v>
      </c>
      <c r="H27" t="s">
        <v>14</v>
      </c>
      <c r="I27" t="s">
        <v>25</v>
      </c>
      <c r="J27" s="2">
        <f>Table1[[#This Row],[Quantity]]*Table1[[#This Row],[Price]]</f>
        <v>999.99600000000009</v>
      </c>
    </row>
    <row r="28" spans="1:10" x14ac:dyDescent="0.35">
      <c r="A28">
        <v>10480</v>
      </c>
      <c r="B28" s="1">
        <v>44878</v>
      </c>
      <c r="C28" t="s">
        <v>18</v>
      </c>
      <c r="D28" s="2">
        <v>12.99</v>
      </c>
      <c r="E28" s="2">
        <v>508.08</v>
      </c>
      <c r="F28" t="s">
        <v>16</v>
      </c>
      <c r="G28" t="s">
        <v>19</v>
      </c>
      <c r="H28" t="s">
        <v>14</v>
      </c>
      <c r="I28" t="s">
        <v>25</v>
      </c>
      <c r="J28" s="2">
        <f>Table1[[#This Row],[Quantity]]*Table1[[#This Row],[Price]]</f>
        <v>6599.9592000000002</v>
      </c>
    </row>
    <row r="29" spans="1:10" x14ac:dyDescent="0.35">
      <c r="A29">
        <v>10481</v>
      </c>
      <c r="B29" s="1">
        <v>44878</v>
      </c>
      <c r="C29" t="s">
        <v>22</v>
      </c>
      <c r="D29" s="2">
        <v>9.9499999999999993</v>
      </c>
      <c r="E29" s="2">
        <v>201.01</v>
      </c>
      <c r="F29" t="s">
        <v>16</v>
      </c>
      <c r="G29" t="s">
        <v>19</v>
      </c>
      <c r="H29" t="s">
        <v>14</v>
      </c>
      <c r="I29" t="s">
        <v>25</v>
      </c>
      <c r="J29" s="2">
        <f>Table1[[#This Row],[Quantity]]*Table1[[#This Row],[Price]]</f>
        <v>2000.0494999999999</v>
      </c>
    </row>
    <row r="30" spans="1:10" x14ac:dyDescent="0.35">
      <c r="A30">
        <v>10482</v>
      </c>
      <c r="B30" s="1">
        <v>44878</v>
      </c>
      <c r="C30" t="s">
        <v>9</v>
      </c>
      <c r="D30" s="2">
        <v>25.5</v>
      </c>
      <c r="E30" s="2">
        <v>630.37</v>
      </c>
      <c r="F30" t="s">
        <v>16</v>
      </c>
      <c r="G30" t="s">
        <v>19</v>
      </c>
      <c r="H30" t="s">
        <v>17</v>
      </c>
      <c r="I30" t="s">
        <v>26</v>
      </c>
      <c r="J30" s="2">
        <f>Table1[[#This Row],[Quantity]]*Table1[[#This Row],[Price]]</f>
        <v>16074.434999999999</v>
      </c>
    </row>
    <row r="31" spans="1:10" x14ac:dyDescent="0.35">
      <c r="A31">
        <v>10486</v>
      </c>
      <c r="B31" s="1">
        <v>44879</v>
      </c>
      <c r="C31" t="s">
        <v>22</v>
      </c>
      <c r="D31" s="2">
        <v>29.05</v>
      </c>
      <c r="E31" s="2">
        <v>201.01</v>
      </c>
      <c r="F31" t="s">
        <v>16</v>
      </c>
      <c r="G31" t="s">
        <v>19</v>
      </c>
      <c r="H31" t="s">
        <v>17</v>
      </c>
      <c r="I31" t="s">
        <v>26</v>
      </c>
      <c r="J31" s="2">
        <f>Table1[[#This Row],[Quantity]]*Table1[[#This Row],[Price]]</f>
        <v>5839.3405000000002</v>
      </c>
    </row>
    <row r="32" spans="1:10" x14ac:dyDescent="0.35">
      <c r="A32">
        <v>10487</v>
      </c>
      <c r="B32" s="1">
        <v>44879</v>
      </c>
      <c r="C32" t="s">
        <v>9</v>
      </c>
      <c r="D32" s="2">
        <v>3.49</v>
      </c>
      <c r="E32" s="2">
        <v>630.37</v>
      </c>
      <c r="F32" t="s">
        <v>16</v>
      </c>
      <c r="G32" t="s">
        <v>19</v>
      </c>
      <c r="H32" t="s">
        <v>17</v>
      </c>
      <c r="I32" t="s">
        <v>26</v>
      </c>
      <c r="J32" s="2">
        <f>Table1[[#This Row],[Quantity]]*Table1[[#This Row],[Price]]</f>
        <v>2199.9913000000001</v>
      </c>
    </row>
    <row r="33" spans="1:10" x14ac:dyDescent="0.35">
      <c r="A33">
        <v>10488</v>
      </c>
      <c r="B33" s="1">
        <v>44879</v>
      </c>
      <c r="C33" t="s">
        <v>13</v>
      </c>
      <c r="D33" s="2">
        <v>2.95</v>
      </c>
      <c r="E33" s="2">
        <v>677.97</v>
      </c>
      <c r="F33" t="s">
        <v>16</v>
      </c>
      <c r="G33" t="s">
        <v>19</v>
      </c>
      <c r="H33" t="s">
        <v>17</v>
      </c>
      <c r="I33" t="s">
        <v>26</v>
      </c>
      <c r="J33" s="2">
        <f>Table1[[#This Row],[Quantity]]*Table1[[#This Row],[Price]]</f>
        <v>2000.0115000000003</v>
      </c>
    </row>
    <row r="34" spans="1:10" x14ac:dyDescent="0.35">
      <c r="A34">
        <v>10489</v>
      </c>
      <c r="B34" s="1">
        <v>44879</v>
      </c>
      <c r="C34" t="s">
        <v>15</v>
      </c>
      <c r="D34" s="2">
        <v>4.99</v>
      </c>
      <c r="E34" s="2">
        <v>200.4</v>
      </c>
      <c r="F34" t="s">
        <v>16</v>
      </c>
      <c r="G34" t="s">
        <v>19</v>
      </c>
      <c r="H34" t="s">
        <v>14</v>
      </c>
      <c r="I34" t="s">
        <v>25</v>
      </c>
      <c r="J34" s="2">
        <f>Table1[[#This Row],[Quantity]]*Table1[[#This Row],[Price]]</f>
        <v>999.99600000000009</v>
      </c>
    </row>
    <row r="35" spans="1:10" x14ac:dyDescent="0.35">
      <c r="A35">
        <v>10490</v>
      </c>
      <c r="B35" s="1">
        <v>44880</v>
      </c>
      <c r="C35" t="s">
        <v>18</v>
      </c>
      <c r="D35" s="2">
        <v>12.99</v>
      </c>
      <c r="E35" s="2">
        <v>508.08</v>
      </c>
      <c r="F35" t="s">
        <v>16</v>
      </c>
      <c r="G35" t="s">
        <v>19</v>
      </c>
      <c r="H35" t="s">
        <v>14</v>
      </c>
      <c r="I35" t="s">
        <v>25</v>
      </c>
      <c r="J35" s="2">
        <f>Table1[[#This Row],[Quantity]]*Table1[[#This Row],[Price]]</f>
        <v>6599.9592000000002</v>
      </c>
    </row>
    <row r="36" spans="1:10" x14ac:dyDescent="0.35">
      <c r="A36">
        <v>10491</v>
      </c>
      <c r="B36" s="1">
        <v>44880</v>
      </c>
      <c r="C36" t="s">
        <v>22</v>
      </c>
      <c r="D36" s="2">
        <v>9.9499999999999993</v>
      </c>
      <c r="E36" s="2">
        <v>201.01</v>
      </c>
      <c r="F36" t="s">
        <v>16</v>
      </c>
      <c r="G36" t="s">
        <v>19</v>
      </c>
      <c r="H36" t="s">
        <v>14</v>
      </c>
      <c r="I36" t="s">
        <v>25</v>
      </c>
      <c r="J36" s="2">
        <f>Table1[[#This Row],[Quantity]]*Table1[[#This Row],[Price]]</f>
        <v>2000.0494999999999</v>
      </c>
    </row>
    <row r="37" spans="1:10" x14ac:dyDescent="0.35">
      <c r="A37">
        <v>10492</v>
      </c>
      <c r="B37" s="1">
        <v>44880</v>
      </c>
      <c r="C37" t="s">
        <v>9</v>
      </c>
      <c r="D37" s="2">
        <v>3.49</v>
      </c>
      <c r="E37" s="2">
        <v>573.07000000000005</v>
      </c>
      <c r="F37" t="s">
        <v>16</v>
      </c>
      <c r="G37" t="s">
        <v>19</v>
      </c>
      <c r="H37" t="s">
        <v>14</v>
      </c>
      <c r="I37" t="s">
        <v>25</v>
      </c>
      <c r="J37" s="2">
        <f>Table1[[#This Row],[Quantity]]*Table1[[#This Row],[Price]]</f>
        <v>2000.0143000000003</v>
      </c>
    </row>
    <row r="38" spans="1:10" x14ac:dyDescent="0.35">
      <c r="A38">
        <v>10493</v>
      </c>
      <c r="B38" s="1">
        <v>44880</v>
      </c>
      <c r="C38" t="s">
        <v>13</v>
      </c>
      <c r="D38" s="2">
        <v>2.95</v>
      </c>
      <c r="E38" s="2">
        <v>677.97</v>
      </c>
      <c r="F38" t="s">
        <v>16</v>
      </c>
      <c r="G38" t="s">
        <v>19</v>
      </c>
      <c r="H38" t="s">
        <v>14</v>
      </c>
      <c r="I38" t="s">
        <v>25</v>
      </c>
      <c r="J38" s="2">
        <f>Table1[[#This Row],[Quantity]]*Table1[[#This Row],[Price]]</f>
        <v>2000.0115000000003</v>
      </c>
    </row>
    <row r="39" spans="1:10" x14ac:dyDescent="0.35">
      <c r="A39">
        <v>10494</v>
      </c>
      <c r="B39" s="1">
        <v>44880</v>
      </c>
      <c r="C39" t="s">
        <v>15</v>
      </c>
      <c r="D39" s="2">
        <v>4.99</v>
      </c>
      <c r="E39" s="2">
        <v>200.4</v>
      </c>
      <c r="F39" t="s">
        <v>16</v>
      </c>
      <c r="G39" t="s">
        <v>19</v>
      </c>
      <c r="H39" t="s">
        <v>14</v>
      </c>
      <c r="I39" t="s">
        <v>25</v>
      </c>
      <c r="J39" s="2">
        <f>Table1[[#This Row],[Quantity]]*Table1[[#This Row],[Price]]</f>
        <v>999.99600000000009</v>
      </c>
    </row>
    <row r="40" spans="1:10" x14ac:dyDescent="0.35">
      <c r="A40">
        <v>10495</v>
      </c>
      <c r="B40" s="1">
        <v>44881</v>
      </c>
      <c r="C40" t="s">
        <v>18</v>
      </c>
      <c r="D40" s="2">
        <v>12.99</v>
      </c>
      <c r="E40" s="2">
        <v>508.08</v>
      </c>
      <c r="F40" t="s">
        <v>16</v>
      </c>
      <c r="G40" t="s">
        <v>19</v>
      </c>
      <c r="H40" t="s">
        <v>14</v>
      </c>
      <c r="I40" t="s">
        <v>25</v>
      </c>
      <c r="J40" s="2">
        <f>Table1[[#This Row],[Quantity]]*Table1[[#This Row],[Price]]</f>
        <v>6599.9592000000002</v>
      </c>
    </row>
    <row r="41" spans="1:10" x14ac:dyDescent="0.35">
      <c r="A41">
        <v>10496</v>
      </c>
      <c r="B41" s="1">
        <v>44881</v>
      </c>
      <c r="C41" t="s">
        <v>22</v>
      </c>
      <c r="D41" s="2">
        <v>9.9499999999999993</v>
      </c>
      <c r="E41" s="2">
        <v>201.01</v>
      </c>
      <c r="F41" t="s">
        <v>16</v>
      </c>
      <c r="G41" t="s">
        <v>19</v>
      </c>
      <c r="H41" t="s">
        <v>14</v>
      </c>
      <c r="I41" t="s">
        <v>25</v>
      </c>
      <c r="J41" s="2">
        <f>Table1[[#This Row],[Quantity]]*Table1[[#This Row],[Price]]</f>
        <v>2000.0494999999999</v>
      </c>
    </row>
    <row r="42" spans="1:10" x14ac:dyDescent="0.35">
      <c r="A42">
        <v>10497</v>
      </c>
      <c r="B42" s="1">
        <v>44881</v>
      </c>
      <c r="C42" t="s">
        <v>9</v>
      </c>
      <c r="D42" s="2">
        <v>3.49</v>
      </c>
      <c r="E42" s="2">
        <v>573.07000000000005</v>
      </c>
      <c r="F42" t="s">
        <v>16</v>
      </c>
      <c r="G42" t="s">
        <v>19</v>
      </c>
      <c r="H42" t="s">
        <v>14</v>
      </c>
      <c r="I42" t="s">
        <v>25</v>
      </c>
      <c r="J42" s="2">
        <f>Table1[[#This Row],[Quantity]]*Table1[[#This Row],[Price]]</f>
        <v>2000.0143000000003</v>
      </c>
    </row>
    <row r="43" spans="1:10" x14ac:dyDescent="0.35">
      <c r="A43">
        <v>10498</v>
      </c>
      <c r="B43" s="1">
        <v>44881</v>
      </c>
      <c r="C43" t="s">
        <v>13</v>
      </c>
      <c r="D43" s="2">
        <v>2.95</v>
      </c>
      <c r="E43" s="2">
        <v>677.97</v>
      </c>
      <c r="F43" t="s">
        <v>27</v>
      </c>
      <c r="G43" t="s">
        <v>19</v>
      </c>
      <c r="H43" t="s">
        <v>14</v>
      </c>
      <c r="I43" t="s">
        <v>25</v>
      </c>
      <c r="J43" s="2">
        <f>Table1[[#This Row],[Quantity]]*Table1[[#This Row],[Price]]</f>
        <v>2000.0115000000003</v>
      </c>
    </row>
    <row r="44" spans="1:10" x14ac:dyDescent="0.35">
      <c r="A44">
        <v>10499</v>
      </c>
      <c r="B44" s="1">
        <v>44881</v>
      </c>
      <c r="C44" t="s">
        <v>15</v>
      </c>
      <c r="D44" s="2">
        <v>4.99</v>
      </c>
      <c r="E44" s="2">
        <v>200.4</v>
      </c>
      <c r="F44" t="s">
        <v>27</v>
      </c>
      <c r="G44" t="s">
        <v>19</v>
      </c>
      <c r="H44" t="s">
        <v>14</v>
      </c>
      <c r="I44" t="s">
        <v>25</v>
      </c>
      <c r="J44" s="2">
        <f>Table1[[#This Row],[Quantity]]*Table1[[#This Row],[Price]]</f>
        <v>999.99600000000009</v>
      </c>
    </row>
    <row r="45" spans="1:10" x14ac:dyDescent="0.35">
      <c r="A45">
        <v>10500</v>
      </c>
      <c r="B45" s="1">
        <v>44882</v>
      </c>
      <c r="C45" t="s">
        <v>18</v>
      </c>
      <c r="D45" s="2">
        <v>12.99</v>
      </c>
      <c r="E45" s="2">
        <v>523.48</v>
      </c>
      <c r="F45" t="s">
        <v>27</v>
      </c>
      <c r="G45" t="s">
        <v>19</v>
      </c>
      <c r="H45" t="s">
        <v>14</v>
      </c>
      <c r="I45" t="s">
        <v>25</v>
      </c>
      <c r="J45" s="2">
        <f>Table1[[#This Row],[Quantity]]*Table1[[#This Row],[Price]]</f>
        <v>6800.0052000000005</v>
      </c>
    </row>
    <row r="46" spans="1:10" x14ac:dyDescent="0.35">
      <c r="A46">
        <v>10501</v>
      </c>
      <c r="B46" s="1">
        <v>44882</v>
      </c>
      <c r="C46" t="s">
        <v>22</v>
      </c>
      <c r="D46" s="2">
        <v>9.9499999999999993</v>
      </c>
      <c r="E46" s="2">
        <v>201.01</v>
      </c>
      <c r="F46" t="s">
        <v>27</v>
      </c>
      <c r="G46" t="s">
        <v>19</v>
      </c>
      <c r="H46" t="s">
        <v>14</v>
      </c>
      <c r="I46" t="s">
        <v>25</v>
      </c>
      <c r="J46" s="2">
        <f>Table1[[#This Row],[Quantity]]*Table1[[#This Row],[Price]]</f>
        <v>2000.0494999999999</v>
      </c>
    </row>
    <row r="47" spans="1:10" x14ac:dyDescent="0.35">
      <c r="A47">
        <v>10502</v>
      </c>
      <c r="B47" s="1">
        <v>44882</v>
      </c>
      <c r="C47" t="s">
        <v>9</v>
      </c>
      <c r="D47" s="2">
        <v>3.49</v>
      </c>
      <c r="E47" s="2">
        <v>630.37</v>
      </c>
      <c r="F47" t="s">
        <v>27</v>
      </c>
      <c r="G47" t="s">
        <v>19</v>
      </c>
      <c r="H47" t="s">
        <v>14</v>
      </c>
      <c r="I47" t="s">
        <v>25</v>
      </c>
      <c r="J47" s="2">
        <f>Table1[[#This Row],[Quantity]]*Table1[[#This Row],[Price]]</f>
        <v>2199.9913000000001</v>
      </c>
    </row>
    <row r="48" spans="1:10" x14ac:dyDescent="0.35">
      <c r="A48">
        <v>10503</v>
      </c>
      <c r="B48" s="1">
        <v>44882</v>
      </c>
      <c r="C48" t="s">
        <v>13</v>
      </c>
      <c r="D48" s="2">
        <v>2.95</v>
      </c>
      <c r="E48" s="2">
        <v>677.97</v>
      </c>
      <c r="F48" t="s">
        <v>27</v>
      </c>
      <c r="G48" t="s">
        <v>19</v>
      </c>
      <c r="H48" t="s">
        <v>14</v>
      </c>
      <c r="I48" t="s">
        <v>25</v>
      </c>
      <c r="J48" s="2">
        <f>Table1[[#This Row],[Quantity]]*Table1[[#This Row],[Price]]</f>
        <v>2000.0115000000003</v>
      </c>
    </row>
    <row r="49" spans="1:10" x14ac:dyDescent="0.35">
      <c r="A49">
        <v>10504</v>
      </c>
      <c r="B49" s="1">
        <v>44882</v>
      </c>
      <c r="C49" t="s">
        <v>15</v>
      </c>
      <c r="D49" s="2">
        <v>4.99</v>
      </c>
      <c r="E49" s="2">
        <v>200.4</v>
      </c>
      <c r="F49" t="s">
        <v>27</v>
      </c>
      <c r="G49" t="s">
        <v>19</v>
      </c>
      <c r="H49" t="s">
        <v>14</v>
      </c>
      <c r="I49" t="s">
        <v>25</v>
      </c>
      <c r="J49" s="2">
        <f>Table1[[#This Row],[Quantity]]*Table1[[#This Row],[Price]]</f>
        <v>999.99600000000009</v>
      </c>
    </row>
    <row r="50" spans="1:10" x14ac:dyDescent="0.35">
      <c r="A50">
        <v>10505</v>
      </c>
      <c r="B50" s="1">
        <v>44883</v>
      </c>
      <c r="C50" t="s">
        <v>18</v>
      </c>
      <c r="D50" s="2">
        <v>12.99</v>
      </c>
      <c r="E50" s="2">
        <v>538.88</v>
      </c>
      <c r="F50" t="s">
        <v>27</v>
      </c>
      <c r="G50" t="s">
        <v>19</v>
      </c>
      <c r="H50" t="s">
        <v>14</v>
      </c>
      <c r="I50" t="s">
        <v>25</v>
      </c>
      <c r="J50" s="2">
        <f>Table1[[#This Row],[Quantity]]*Table1[[#This Row],[Price]]</f>
        <v>7000.0511999999999</v>
      </c>
    </row>
    <row r="51" spans="1:10" x14ac:dyDescent="0.35">
      <c r="A51">
        <v>10506</v>
      </c>
      <c r="B51" s="1">
        <v>44883</v>
      </c>
      <c r="C51" t="s">
        <v>22</v>
      </c>
      <c r="D51" s="2">
        <v>9.9499999999999993</v>
      </c>
      <c r="E51" s="2">
        <v>201.01</v>
      </c>
      <c r="F51" t="s">
        <v>27</v>
      </c>
      <c r="G51" t="s">
        <v>19</v>
      </c>
      <c r="H51" t="s">
        <v>14</v>
      </c>
      <c r="I51" t="s">
        <v>25</v>
      </c>
      <c r="J51" s="2">
        <f>Table1[[#This Row],[Quantity]]*Table1[[#This Row],[Price]]</f>
        <v>2000.0494999999999</v>
      </c>
    </row>
    <row r="52" spans="1:10" x14ac:dyDescent="0.35">
      <c r="A52">
        <v>10507</v>
      </c>
      <c r="B52" s="1">
        <v>44883</v>
      </c>
      <c r="C52" t="s">
        <v>9</v>
      </c>
      <c r="D52" s="2">
        <v>3.49</v>
      </c>
      <c r="E52" s="2">
        <v>687.68</v>
      </c>
      <c r="F52" t="s">
        <v>27</v>
      </c>
      <c r="G52" t="s">
        <v>19</v>
      </c>
      <c r="H52" t="s">
        <v>14</v>
      </c>
      <c r="I52" t="s">
        <v>25</v>
      </c>
      <c r="J52" s="2">
        <f>Table1[[#This Row],[Quantity]]*Table1[[#This Row],[Price]]</f>
        <v>2400.0032000000001</v>
      </c>
    </row>
    <row r="53" spans="1:10" x14ac:dyDescent="0.35">
      <c r="A53">
        <v>10508</v>
      </c>
      <c r="B53" s="1">
        <v>44883</v>
      </c>
      <c r="C53" t="s">
        <v>13</v>
      </c>
      <c r="D53" s="2">
        <v>2.95</v>
      </c>
      <c r="E53" s="2">
        <v>677.97</v>
      </c>
      <c r="F53" t="s">
        <v>27</v>
      </c>
      <c r="G53" t="s">
        <v>19</v>
      </c>
      <c r="H53" t="s">
        <v>14</v>
      </c>
      <c r="I53" t="s">
        <v>25</v>
      </c>
      <c r="J53" s="2">
        <f>Table1[[#This Row],[Quantity]]*Table1[[#This Row],[Price]]</f>
        <v>2000.0115000000003</v>
      </c>
    </row>
    <row r="54" spans="1:10" x14ac:dyDescent="0.35">
      <c r="A54">
        <v>10509</v>
      </c>
      <c r="B54" s="1">
        <v>44883</v>
      </c>
      <c r="C54" t="s">
        <v>15</v>
      </c>
      <c r="D54" s="2">
        <v>4.99</v>
      </c>
      <c r="E54" s="2">
        <v>200.4</v>
      </c>
      <c r="F54" t="s">
        <v>27</v>
      </c>
      <c r="G54" t="s">
        <v>19</v>
      </c>
      <c r="H54" t="s">
        <v>14</v>
      </c>
      <c r="I54" t="s">
        <v>25</v>
      </c>
      <c r="J54" s="2">
        <f>Table1[[#This Row],[Quantity]]*Table1[[#This Row],[Price]]</f>
        <v>999.99600000000009</v>
      </c>
    </row>
    <row r="55" spans="1:10" x14ac:dyDescent="0.35">
      <c r="A55">
        <v>10510</v>
      </c>
      <c r="B55" s="1">
        <v>44884</v>
      </c>
      <c r="C55" t="s">
        <v>18</v>
      </c>
      <c r="D55" s="2">
        <v>12.99</v>
      </c>
      <c r="E55" s="2">
        <v>508.08</v>
      </c>
      <c r="F55" t="s">
        <v>27</v>
      </c>
      <c r="G55" t="s">
        <v>19</v>
      </c>
      <c r="H55" t="s">
        <v>14</v>
      </c>
      <c r="I55" t="s">
        <v>25</v>
      </c>
      <c r="J55" s="2">
        <f>Table1[[#This Row],[Quantity]]*Table1[[#This Row],[Price]]</f>
        <v>6599.9592000000002</v>
      </c>
    </row>
    <row r="56" spans="1:10" x14ac:dyDescent="0.35">
      <c r="A56">
        <v>10511</v>
      </c>
      <c r="B56" s="1">
        <v>44884</v>
      </c>
      <c r="C56" t="s">
        <v>22</v>
      </c>
      <c r="D56" s="2">
        <v>9.9499999999999993</v>
      </c>
      <c r="E56" s="2">
        <v>201.01</v>
      </c>
      <c r="F56" t="s">
        <v>27</v>
      </c>
      <c r="G56" t="s">
        <v>19</v>
      </c>
      <c r="H56" t="s">
        <v>17</v>
      </c>
      <c r="I56" t="s">
        <v>26</v>
      </c>
      <c r="J56" s="2">
        <f>Table1[[#This Row],[Quantity]]*Table1[[#This Row],[Price]]</f>
        <v>2000.0494999999999</v>
      </c>
    </row>
    <row r="57" spans="1:10" x14ac:dyDescent="0.35">
      <c r="A57">
        <v>10512</v>
      </c>
      <c r="B57" s="1">
        <v>44884</v>
      </c>
      <c r="C57" t="s">
        <v>9</v>
      </c>
      <c r="D57" s="2">
        <v>3.49</v>
      </c>
      <c r="E57" s="2">
        <v>687.68</v>
      </c>
      <c r="F57" t="s">
        <v>27</v>
      </c>
      <c r="G57" t="s">
        <v>19</v>
      </c>
      <c r="H57" t="s">
        <v>17</v>
      </c>
      <c r="I57" t="s">
        <v>26</v>
      </c>
      <c r="J57" s="2">
        <f>Table1[[#This Row],[Quantity]]*Table1[[#This Row],[Price]]</f>
        <v>2400.0032000000001</v>
      </c>
    </row>
    <row r="58" spans="1:10" x14ac:dyDescent="0.35">
      <c r="A58">
        <v>10513</v>
      </c>
      <c r="B58" s="1">
        <v>44884</v>
      </c>
      <c r="C58" t="s">
        <v>13</v>
      </c>
      <c r="D58" s="2">
        <v>2.95</v>
      </c>
      <c r="E58" s="2">
        <v>677.97</v>
      </c>
      <c r="F58" t="s">
        <v>27</v>
      </c>
      <c r="G58" t="s">
        <v>28</v>
      </c>
      <c r="H58" t="s">
        <v>17</v>
      </c>
      <c r="I58" t="s">
        <v>26</v>
      </c>
      <c r="J58" s="2">
        <f>Table1[[#This Row],[Quantity]]*Table1[[#This Row],[Price]]</f>
        <v>2000.0115000000003</v>
      </c>
    </row>
    <row r="59" spans="1:10" x14ac:dyDescent="0.35">
      <c r="A59">
        <v>10514</v>
      </c>
      <c r="B59" s="1">
        <v>44884</v>
      </c>
      <c r="C59" t="s">
        <v>15</v>
      </c>
      <c r="D59" s="2">
        <v>4.99</v>
      </c>
      <c r="E59" s="2">
        <v>200.4</v>
      </c>
      <c r="F59" t="s">
        <v>27</v>
      </c>
      <c r="G59" t="s">
        <v>28</v>
      </c>
      <c r="H59" t="s">
        <v>17</v>
      </c>
      <c r="I59" t="s">
        <v>26</v>
      </c>
      <c r="J59" s="2">
        <f>Table1[[#This Row],[Quantity]]*Table1[[#This Row],[Price]]</f>
        <v>999.99600000000009</v>
      </c>
    </row>
    <row r="60" spans="1:10" x14ac:dyDescent="0.35">
      <c r="A60">
        <v>10515</v>
      </c>
      <c r="B60" s="1">
        <v>44885</v>
      </c>
      <c r="C60" t="s">
        <v>18</v>
      </c>
      <c r="D60" s="2">
        <v>12.99</v>
      </c>
      <c r="E60" s="2">
        <v>477.29</v>
      </c>
      <c r="F60" t="s">
        <v>27</v>
      </c>
      <c r="G60" t="s">
        <v>28</v>
      </c>
      <c r="H60" t="s">
        <v>17</v>
      </c>
      <c r="I60" t="s">
        <v>26</v>
      </c>
      <c r="J60" s="2">
        <f>Table1[[#This Row],[Quantity]]*Table1[[#This Row],[Price]]</f>
        <v>6199.9971000000005</v>
      </c>
    </row>
    <row r="61" spans="1:10" x14ac:dyDescent="0.35">
      <c r="A61">
        <v>10516</v>
      </c>
      <c r="B61" s="1">
        <v>44885</v>
      </c>
      <c r="C61" t="s">
        <v>22</v>
      </c>
      <c r="D61" s="2">
        <v>9.9499999999999993</v>
      </c>
      <c r="E61" s="2">
        <v>201.01</v>
      </c>
      <c r="F61" t="s">
        <v>27</v>
      </c>
      <c r="G61" t="s">
        <v>28</v>
      </c>
      <c r="H61" t="s">
        <v>17</v>
      </c>
      <c r="I61" t="s">
        <v>26</v>
      </c>
      <c r="J61" s="2">
        <f>Table1[[#This Row],[Quantity]]*Table1[[#This Row],[Price]]</f>
        <v>2000.0494999999999</v>
      </c>
    </row>
    <row r="62" spans="1:10" x14ac:dyDescent="0.35">
      <c r="A62">
        <v>10483</v>
      </c>
      <c r="B62" s="1">
        <v>44878</v>
      </c>
      <c r="C62" t="s">
        <v>13</v>
      </c>
      <c r="D62" s="2">
        <v>2.95</v>
      </c>
      <c r="E62" s="2">
        <v>677.97</v>
      </c>
      <c r="F62" t="s">
        <v>16</v>
      </c>
      <c r="G62" t="s">
        <v>19</v>
      </c>
      <c r="H62" t="s">
        <v>17</v>
      </c>
      <c r="I62" t="s">
        <v>26</v>
      </c>
      <c r="J62" s="2">
        <f>Table1[[#This Row],[Quantity]]*Table1[[#This Row],[Price]]</f>
        <v>2000.0115000000003</v>
      </c>
    </row>
    <row r="63" spans="1:10" x14ac:dyDescent="0.35">
      <c r="A63">
        <v>10484</v>
      </c>
      <c r="B63" s="1">
        <v>44878</v>
      </c>
      <c r="C63" t="s">
        <v>15</v>
      </c>
      <c r="D63" s="2">
        <v>4.99</v>
      </c>
      <c r="E63" s="2">
        <v>200.4</v>
      </c>
      <c r="F63" t="s">
        <v>16</v>
      </c>
      <c r="G63" t="s">
        <v>19</v>
      </c>
      <c r="H63" t="s">
        <v>17</v>
      </c>
      <c r="I63" t="s">
        <v>26</v>
      </c>
      <c r="J63" s="2">
        <f>Table1[[#This Row],[Quantity]]*Table1[[#This Row],[Price]]</f>
        <v>999.99600000000009</v>
      </c>
    </row>
    <row r="64" spans="1:10" x14ac:dyDescent="0.35">
      <c r="A64">
        <v>10485</v>
      </c>
      <c r="B64" s="1">
        <v>44879</v>
      </c>
      <c r="C64" t="s">
        <v>18</v>
      </c>
      <c r="D64" s="2">
        <v>12.99</v>
      </c>
      <c r="E64" s="2">
        <v>523.48</v>
      </c>
      <c r="F64" t="s">
        <v>16</v>
      </c>
      <c r="G64" t="s">
        <v>19</v>
      </c>
      <c r="H64" t="s">
        <v>17</v>
      </c>
      <c r="I64" t="s">
        <v>26</v>
      </c>
      <c r="J64" s="2">
        <f>Table1[[#This Row],[Quantity]]*Table1[[#This Row],[Price]]</f>
        <v>6800.0052000000005</v>
      </c>
    </row>
    <row r="65" spans="1:10" x14ac:dyDescent="0.35">
      <c r="A65">
        <v>10520</v>
      </c>
      <c r="B65" s="1">
        <v>44886</v>
      </c>
      <c r="C65" t="s">
        <v>18</v>
      </c>
      <c r="D65" s="2">
        <v>12.99</v>
      </c>
      <c r="E65" s="2">
        <v>492.69</v>
      </c>
      <c r="F65" t="s">
        <v>27</v>
      </c>
      <c r="G65" t="s">
        <v>28</v>
      </c>
      <c r="H65" t="s">
        <v>23</v>
      </c>
      <c r="I65" t="s">
        <v>24</v>
      </c>
      <c r="J65" s="2">
        <f>Table1[[#This Row],[Quantity]]*Table1[[#This Row],[Price]]</f>
        <v>6400.0430999999999</v>
      </c>
    </row>
    <row r="66" spans="1:10" x14ac:dyDescent="0.35">
      <c r="A66">
        <v>10521</v>
      </c>
      <c r="B66" s="1">
        <v>44886</v>
      </c>
      <c r="C66" t="s">
        <v>22</v>
      </c>
      <c r="D66" s="2">
        <v>9.9499999999999993</v>
      </c>
      <c r="E66" s="2">
        <v>201.01</v>
      </c>
      <c r="F66" t="s">
        <v>27</v>
      </c>
      <c r="G66" t="s">
        <v>28</v>
      </c>
      <c r="H66" t="s">
        <v>23</v>
      </c>
      <c r="I66" t="s">
        <v>24</v>
      </c>
      <c r="J66" s="2">
        <f>Table1[[#This Row],[Quantity]]*Table1[[#This Row],[Price]]</f>
        <v>2000.0494999999999</v>
      </c>
    </row>
    <row r="67" spans="1:10" x14ac:dyDescent="0.35">
      <c r="A67">
        <v>10522</v>
      </c>
      <c r="B67" s="1">
        <v>44886</v>
      </c>
      <c r="C67" t="s">
        <v>9</v>
      </c>
      <c r="D67" s="2">
        <v>3.49</v>
      </c>
      <c r="E67" s="2">
        <v>687.68</v>
      </c>
      <c r="F67" t="s">
        <v>27</v>
      </c>
      <c r="G67" t="s">
        <v>28</v>
      </c>
      <c r="H67" t="s">
        <v>23</v>
      </c>
      <c r="I67" t="s">
        <v>24</v>
      </c>
      <c r="J67" s="2">
        <f>Table1[[#This Row],[Quantity]]*Table1[[#This Row],[Price]]</f>
        <v>2400.0032000000001</v>
      </c>
    </row>
    <row r="68" spans="1:10" x14ac:dyDescent="0.35">
      <c r="A68">
        <v>10523</v>
      </c>
      <c r="B68" s="1">
        <v>44886</v>
      </c>
      <c r="C68" t="s">
        <v>13</v>
      </c>
      <c r="D68" s="2">
        <v>2.95</v>
      </c>
      <c r="E68" s="2">
        <v>745.76</v>
      </c>
      <c r="F68" t="s">
        <v>27</v>
      </c>
      <c r="G68" t="s">
        <v>28</v>
      </c>
      <c r="H68" t="s">
        <v>23</v>
      </c>
      <c r="I68" t="s">
        <v>24</v>
      </c>
      <c r="J68" s="2">
        <f>Table1[[#This Row],[Quantity]]*Table1[[#This Row],[Price]]</f>
        <v>2199.9920000000002</v>
      </c>
    </row>
    <row r="69" spans="1:10" x14ac:dyDescent="0.35">
      <c r="A69">
        <v>10524</v>
      </c>
      <c r="B69" s="1">
        <v>44886</v>
      </c>
      <c r="C69" t="s">
        <v>15</v>
      </c>
      <c r="D69" s="2">
        <v>4.99</v>
      </c>
      <c r="E69" s="2">
        <v>200.4</v>
      </c>
      <c r="F69" t="s">
        <v>27</v>
      </c>
      <c r="G69" t="s">
        <v>28</v>
      </c>
      <c r="H69" t="s">
        <v>23</v>
      </c>
      <c r="I69" t="s">
        <v>24</v>
      </c>
      <c r="J69" s="2">
        <f>Table1[[#This Row],[Quantity]]*Table1[[#This Row],[Price]]</f>
        <v>999.99600000000009</v>
      </c>
    </row>
    <row r="70" spans="1:10" x14ac:dyDescent="0.35">
      <c r="A70">
        <v>10525</v>
      </c>
      <c r="B70" s="1">
        <v>44887</v>
      </c>
      <c r="C70" t="s">
        <v>18</v>
      </c>
      <c r="D70" s="2">
        <v>12.99</v>
      </c>
      <c r="E70" s="2">
        <v>461.89</v>
      </c>
      <c r="F70" t="s">
        <v>27</v>
      </c>
      <c r="G70" t="s">
        <v>28</v>
      </c>
      <c r="H70" t="s">
        <v>23</v>
      </c>
      <c r="I70" t="s">
        <v>24</v>
      </c>
      <c r="J70" s="2">
        <f>Table1[[#This Row],[Quantity]]*Table1[[#This Row],[Price]]</f>
        <v>5999.9511000000002</v>
      </c>
    </row>
    <row r="71" spans="1:10" x14ac:dyDescent="0.35">
      <c r="A71">
        <v>10526</v>
      </c>
      <c r="B71" s="1">
        <v>44887</v>
      </c>
      <c r="C71" t="s">
        <v>22</v>
      </c>
      <c r="D71" s="2">
        <v>9.9499999999999993</v>
      </c>
      <c r="E71" s="2">
        <v>201.01</v>
      </c>
      <c r="F71" t="s">
        <v>27</v>
      </c>
      <c r="G71" t="s">
        <v>28</v>
      </c>
      <c r="H71" t="s">
        <v>23</v>
      </c>
      <c r="I71" t="s">
        <v>24</v>
      </c>
      <c r="J71" s="2">
        <f>Table1[[#This Row],[Quantity]]*Table1[[#This Row],[Price]]</f>
        <v>2000.0494999999999</v>
      </c>
    </row>
    <row r="72" spans="1:10" x14ac:dyDescent="0.35">
      <c r="A72">
        <v>10527</v>
      </c>
      <c r="B72" s="1">
        <v>44887</v>
      </c>
      <c r="C72" t="s">
        <v>9</v>
      </c>
      <c r="D72" s="2">
        <v>3.49</v>
      </c>
      <c r="E72" s="2">
        <v>687.68</v>
      </c>
      <c r="F72" t="s">
        <v>27</v>
      </c>
      <c r="G72" t="s">
        <v>28</v>
      </c>
      <c r="H72" t="s">
        <v>23</v>
      </c>
      <c r="I72" t="s">
        <v>24</v>
      </c>
      <c r="J72" s="2">
        <f>Table1[[#This Row],[Quantity]]*Table1[[#This Row],[Price]]</f>
        <v>2400.0032000000001</v>
      </c>
    </row>
    <row r="73" spans="1:10" x14ac:dyDescent="0.35">
      <c r="A73">
        <v>10528</v>
      </c>
      <c r="B73" s="1">
        <v>44887</v>
      </c>
      <c r="C73" t="s">
        <v>13</v>
      </c>
      <c r="D73" s="2">
        <v>2.95</v>
      </c>
      <c r="E73" s="2">
        <v>745.76</v>
      </c>
      <c r="F73" t="s">
        <v>27</v>
      </c>
      <c r="G73" t="s">
        <v>28</v>
      </c>
      <c r="H73" t="s">
        <v>23</v>
      </c>
      <c r="I73" t="s">
        <v>24</v>
      </c>
      <c r="J73" s="2">
        <f>Table1[[#This Row],[Quantity]]*Table1[[#This Row],[Price]]</f>
        <v>2199.9920000000002</v>
      </c>
    </row>
    <row r="74" spans="1:10" x14ac:dyDescent="0.35">
      <c r="A74">
        <v>10529</v>
      </c>
      <c r="B74" s="1">
        <v>44887</v>
      </c>
      <c r="C74" t="s">
        <v>15</v>
      </c>
      <c r="D74" s="2">
        <v>4.99</v>
      </c>
      <c r="E74" s="2">
        <v>200.4</v>
      </c>
      <c r="F74" t="s">
        <v>27</v>
      </c>
      <c r="G74" t="s">
        <v>28</v>
      </c>
      <c r="H74" t="s">
        <v>23</v>
      </c>
      <c r="I74" t="s">
        <v>24</v>
      </c>
      <c r="J74" s="2">
        <f>Table1[[#This Row],[Quantity]]*Table1[[#This Row],[Price]]</f>
        <v>999.99600000000009</v>
      </c>
    </row>
    <row r="75" spans="1:10" x14ac:dyDescent="0.35">
      <c r="A75">
        <v>10530</v>
      </c>
      <c r="B75" s="1">
        <v>44888</v>
      </c>
      <c r="C75" t="s">
        <v>18</v>
      </c>
      <c r="D75" s="2">
        <v>12.99</v>
      </c>
      <c r="E75" s="2">
        <v>477.29</v>
      </c>
      <c r="F75" t="s">
        <v>27</v>
      </c>
      <c r="G75" t="s">
        <v>28</v>
      </c>
      <c r="H75" t="s">
        <v>23</v>
      </c>
      <c r="I75" t="s">
        <v>24</v>
      </c>
      <c r="J75" s="2">
        <f>Table1[[#This Row],[Quantity]]*Table1[[#This Row],[Price]]</f>
        <v>6199.9971000000005</v>
      </c>
    </row>
    <row r="76" spans="1:10" x14ac:dyDescent="0.35">
      <c r="A76">
        <v>10531</v>
      </c>
      <c r="B76" s="1">
        <v>44888</v>
      </c>
      <c r="C76" t="s">
        <v>22</v>
      </c>
      <c r="D76" s="2">
        <v>9.9499999999999993</v>
      </c>
      <c r="E76" s="2">
        <v>201.01</v>
      </c>
      <c r="F76" t="s">
        <v>27</v>
      </c>
      <c r="G76" t="s">
        <v>28</v>
      </c>
      <c r="H76" t="s">
        <v>23</v>
      </c>
      <c r="I76" t="s">
        <v>24</v>
      </c>
      <c r="J76" s="2">
        <f>Table1[[#This Row],[Quantity]]*Table1[[#This Row],[Price]]</f>
        <v>2000.0494999999999</v>
      </c>
    </row>
    <row r="77" spans="1:10" x14ac:dyDescent="0.35">
      <c r="A77">
        <v>10532</v>
      </c>
      <c r="B77" s="1">
        <v>44888</v>
      </c>
      <c r="C77" t="s">
        <v>9</v>
      </c>
      <c r="D77" s="2">
        <v>3.49</v>
      </c>
      <c r="E77" s="2">
        <v>687.68</v>
      </c>
      <c r="F77" t="s">
        <v>27</v>
      </c>
      <c r="G77" t="s">
        <v>28</v>
      </c>
      <c r="H77" t="s">
        <v>17</v>
      </c>
      <c r="I77" t="s">
        <v>26</v>
      </c>
      <c r="J77" s="2">
        <f>Table1[[#This Row],[Quantity]]*Table1[[#This Row],[Price]]</f>
        <v>2400.0032000000001</v>
      </c>
    </row>
    <row r="78" spans="1:10" x14ac:dyDescent="0.35">
      <c r="A78">
        <v>10533</v>
      </c>
      <c r="B78" s="1">
        <v>44888</v>
      </c>
      <c r="C78" t="s">
        <v>13</v>
      </c>
      <c r="D78" s="2">
        <v>2.95</v>
      </c>
      <c r="E78" s="2">
        <v>745.76</v>
      </c>
      <c r="F78" t="s">
        <v>27</v>
      </c>
      <c r="G78" t="s">
        <v>28</v>
      </c>
      <c r="H78" t="s">
        <v>17</v>
      </c>
      <c r="I78" t="s">
        <v>26</v>
      </c>
      <c r="J78" s="2">
        <f>Table1[[#This Row],[Quantity]]*Table1[[#This Row],[Price]]</f>
        <v>2199.9920000000002</v>
      </c>
    </row>
    <row r="79" spans="1:10" x14ac:dyDescent="0.35">
      <c r="A79">
        <v>10534</v>
      </c>
      <c r="B79" s="1">
        <v>44888</v>
      </c>
      <c r="C79" t="s">
        <v>15</v>
      </c>
      <c r="D79" s="2">
        <v>4.99</v>
      </c>
      <c r="E79" s="2">
        <v>200.4</v>
      </c>
      <c r="F79" t="s">
        <v>27</v>
      </c>
      <c r="G79" t="s">
        <v>28</v>
      </c>
      <c r="H79" t="s">
        <v>14</v>
      </c>
      <c r="I79" t="s">
        <v>25</v>
      </c>
      <c r="J79" s="2">
        <f>Table1[[#This Row],[Quantity]]*Table1[[#This Row],[Price]]</f>
        <v>999.99600000000009</v>
      </c>
    </row>
    <row r="80" spans="1:10" x14ac:dyDescent="0.35">
      <c r="A80">
        <v>10535</v>
      </c>
      <c r="B80" s="1">
        <v>44889</v>
      </c>
      <c r="C80" t="s">
        <v>18</v>
      </c>
      <c r="D80" s="2">
        <v>12.99</v>
      </c>
      <c r="E80" s="2">
        <v>477.29</v>
      </c>
      <c r="F80" t="s">
        <v>27</v>
      </c>
      <c r="G80" t="s">
        <v>19</v>
      </c>
      <c r="H80" t="s">
        <v>14</v>
      </c>
      <c r="I80" t="s">
        <v>25</v>
      </c>
      <c r="J80" s="2">
        <f>Table1[[#This Row],[Quantity]]*Table1[[#This Row],[Price]]</f>
        <v>6199.9971000000005</v>
      </c>
    </row>
    <row r="81" spans="1:10" x14ac:dyDescent="0.35">
      <c r="A81">
        <v>10536</v>
      </c>
      <c r="B81" s="1">
        <v>44889</v>
      </c>
      <c r="C81" t="s">
        <v>22</v>
      </c>
      <c r="D81" s="2">
        <v>9.9499999999999993</v>
      </c>
      <c r="E81" s="2">
        <v>201.01</v>
      </c>
      <c r="F81" t="s">
        <v>27</v>
      </c>
      <c r="G81" t="s">
        <v>19</v>
      </c>
      <c r="H81" t="s">
        <v>14</v>
      </c>
      <c r="I81" t="s">
        <v>25</v>
      </c>
      <c r="J81" s="2">
        <f>Table1[[#This Row],[Quantity]]*Table1[[#This Row],[Price]]</f>
        <v>2000.0494999999999</v>
      </c>
    </row>
    <row r="82" spans="1:10" x14ac:dyDescent="0.35">
      <c r="A82">
        <v>10540</v>
      </c>
      <c r="B82" s="1">
        <v>44890</v>
      </c>
      <c r="C82" t="s">
        <v>18</v>
      </c>
      <c r="D82" s="2">
        <v>12.99</v>
      </c>
      <c r="E82" s="2">
        <v>461.89</v>
      </c>
      <c r="F82" t="s">
        <v>27</v>
      </c>
      <c r="G82" t="s">
        <v>19</v>
      </c>
      <c r="H82" t="s">
        <v>14</v>
      </c>
      <c r="I82" t="s">
        <v>25</v>
      </c>
      <c r="J82" s="2">
        <f>Table1[[#This Row],[Quantity]]*Table1[[#This Row],[Price]]</f>
        <v>5999.9511000000002</v>
      </c>
    </row>
    <row r="83" spans="1:10" x14ac:dyDescent="0.35">
      <c r="A83">
        <v>10541</v>
      </c>
      <c r="B83" s="1">
        <v>44890</v>
      </c>
      <c r="C83" t="s">
        <v>22</v>
      </c>
      <c r="D83" s="2">
        <v>9.9499999999999993</v>
      </c>
      <c r="E83" s="2">
        <v>201.01</v>
      </c>
      <c r="F83" t="s">
        <v>27</v>
      </c>
      <c r="G83" t="s">
        <v>19</v>
      </c>
      <c r="H83" t="s">
        <v>12</v>
      </c>
      <c r="I83" t="s">
        <v>29</v>
      </c>
      <c r="J83" s="2">
        <f>Table1[[#This Row],[Quantity]]*Table1[[#This Row],[Price]]</f>
        <v>2000.0494999999999</v>
      </c>
    </row>
    <row r="84" spans="1:10" x14ac:dyDescent="0.35">
      <c r="A84">
        <v>10542</v>
      </c>
      <c r="B84" s="1">
        <v>44890</v>
      </c>
      <c r="C84" t="s">
        <v>9</v>
      </c>
      <c r="D84" s="2">
        <v>3.49</v>
      </c>
      <c r="E84" s="2">
        <v>630.37</v>
      </c>
      <c r="F84" t="s">
        <v>27</v>
      </c>
      <c r="G84" t="s">
        <v>19</v>
      </c>
      <c r="H84" t="s">
        <v>12</v>
      </c>
      <c r="I84" t="s">
        <v>29</v>
      </c>
      <c r="J84" s="2">
        <f>Table1[[#This Row],[Quantity]]*Table1[[#This Row],[Price]]</f>
        <v>2199.9913000000001</v>
      </c>
    </row>
    <row r="85" spans="1:10" x14ac:dyDescent="0.35">
      <c r="A85">
        <v>10543</v>
      </c>
      <c r="B85" s="1">
        <v>44890</v>
      </c>
      <c r="C85" t="s">
        <v>13</v>
      </c>
      <c r="D85" s="2">
        <v>2.95</v>
      </c>
      <c r="E85" s="2">
        <v>745.76</v>
      </c>
      <c r="F85" t="s">
        <v>27</v>
      </c>
      <c r="G85" t="s">
        <v>19</v>
      </c>
      <c r="H85" t="s">
        <v>12</v>
      </c>
      <c r="I85" t="s">
        <v>29</v>
      </c>
      <c r="J85" s="2">
        <f>Table1[[#This Row],[Quantity]]*Table1[[#This Row],[Price]]</f>
        <v>2199.9920000000002</v>
      </c>
    </row>
    <row r="86" spans="1:10" x14ac:dyDescent="0.35">
      <c r="A86">
        <v>10544</v>
      </c>
      <c r="B86" s="1">
        <v>44890</v>
      </c>
      <c r="C86" t="s">
        <v>15</v>
      </c>
      <c r="D86" s="2">
        <v>4.99</v>
      </c>
      <c r="E86" s="2">
        <v>200.4</v>
      </c>
      <c r="F86" t="s">
        <v>27</v>
      </c>
      <c r="G86" t="s">
        <v>19</v>
      </c>
      <c r="H86" t="s">
        <v>12</v>
      </c>
      <c r="I86" t="s">
        <v>29</v>
      </c>
      <c r="J86" s="2">
        <f>Table1[[#This Row],[Quantity]]*Table1[[#This Row],[Price]]</f>
        <v>999.99600000000009</v>
      </c>
    </row>
    <row r="87" spans="1:10" x14ac:dyDescent="0.35">
      <c r="A87">
        <v>10545</v>
      </c>
      <c r="B87" s="1">
        <v>44891</v>
      </c>
      <c r="C87" t="s">
        <v>18</v>
      </c>
      <c r="D87" s="2">
        <v>12.99</v>
      </c>
      <c r="E87" s="2">
        <v>446.5</v>
      </c>
      <c r="F87" t="s">
        <v>27</v>
      </c>
      <c r="G87" t="s">
        <v>19</v>
      </c>
      <c r="H87" t="s">
        <v>12</v>
      </c>
      <c r="I87" t="s">
        <v>29</v>
      </c>
      <c r="J87" s="2">
        <f>Table1[[#This Row],[Quantity]]*Table1[[#This Row],[Price]]</f>
        <v>5800.0349999999999</v>
      </c>
    </row>
    <row r="88" spans="1:10" x14ac:dyDescent="0.35">
      <c r="A88">
        <v>10546</v>
      </c>
      <c r="B88" s="1">
        <v>44891</v>
      </c>
      <c r="C88" t="s">
        <v>22</v>
      </c>
      <c r="D88" s="2">
        <v>9.9499999999999993</v>
      </c>
      <c r="E88" s="2">
        <v>201.01</v>
      </c>
      <c r="F88" t="s">
        <v>27</v>
      </c>
      <c r="G88" t="s">
        <v>19</v>
      </c>
      <c r="H88" t="s">
        <v>12</v>
      </c>
      <c r="I88" t="s">
        <v>29</v>
      </c>
      <c r="J88" s="2">
        <f>Table1[[#This Row],[Quantity]]*Table1[[#This Row],[Price]]</f>
        <v>2000.0494999999999</v>
      </c>
    </row>
    <row r="89" spans="1:10" x14ac:dyDescent="0.35">
      <c r="A89">
        <v>10547</v>
      </c>
      <c r="B89" s="1">
        <v>44891</v>
      </c>
      <c r="C89" t="s">
        <v>9</v>
      </c>
      <c r="D89" s="2">
        <v>3.49</v>
      </c>
      <c r="E89" s="2">
        <v>630.37</v>
      </c>
      <c r="F89" t="s">
        <v>27</v>
      </c>
      <c r="G89" t="s">
        <v>19</v>
      </c>
      <c r="H89" t="s">
        <v>12</v>
      </c>
      <c r="I89" t="s">
        <v>29</v>
      </c>
      <c r="J89" s="2">
        <f>Table1[[#This Row],[Quantity]]*Table1[[#This Row],[Price]]</f>
        <v>2199.9913000000001</v>
      </c>
    </row>
    <row r="90" spans="1:10" x14ac:dyDescent="0.35">
      <c r="A90">
        <v>10548</v>
      </c>
      <c r="B90" s="1">
        <v>44891</v>
      </c>
      <c r="C90" t="s">
        <v>13</v>
      </c>
      <c r="D90" s="2">
        <v>2.95</v>
      </c>
      <c r="E90" s="2">
        <v>745.76</v>
      </c>
      <c r="F90" t="s">
        <v>27</v>
      </c>
      <c r="G90" t="s">
        <v>19</v>
      </c>
      <c r="H90" t="s">
        <v>12</v>
      </c>
      <c r="I90" t="s">
        <v>29</v>
      </c>
      <c r="J90" s="2">
        <f>Table1[[#This Row],[Quantity]]*Table1[[#This Row],[Price]]</f>
        <v>2199.9920000000002</v>
      </c>
    </row>
    <row r="91" spans="1:10" x14ac:dyDescent="0.35">
      <c r="A91">
        <v>10549</v>
      </c>
      <c r="B91" s="1">
        <v>44891</v>
      </c>
      <c r="C91" t="s">
        <v>15</v>
      </c>
      <c r="D91" s="2">
        <v>4.99</v>
      </c>
      <c r="E91" s="2">
        <v>200.4</v>
      </c>
      <c r="F91" t="s">
        <v>27</v>
      </c>
      <c r="G91" t="s">
        <v>19</v>
      </c>
      <c r="H91" t="s">
        <v>12</v>
      </c>
      <c r="I91" t="s">
        <v>29</v>
      </c>
      <c r="J91" s="2">
        <f>Table1[[#This Row],[Quantity]]*Table1[[#This Row],[Price]]</f>
        <v>999.99600000000009</v>
      </c>
    </row>
    <row r="92" spans="1:10" x14ac:dyDescent="0.35">
      <c r="A92">
        <v>10550</v>
      </c>
      <c r="B92" s="1">
        <v>44892</v>
      </c>
      <c r="C92" t="s">
        <v>18</v>
      </c>
      <c r="D92" s="2">
        <v>12.99</v>
      </c>
      <c r="E92" s="2">
        <v>461.89</v>
      </c>
      <c r="F92" t="s">
        <v>27</v>
      </c>
      <c r="G92" t="s">
        <v>19</v>
      </c>
      <c r="H92" t="s">
        <v>12</v>
      </c>
      <c r="I92" t="s">
        <v>29</v>
      </c>
      <c r="J92" s="2">
        <f>Table1[[#This Row],[Quantity]]*Table1[[#This Row],[Price]]</f>
        <v>5999.9511000000002</v>
      </c>
    </row>
    <row r="93" spans="1:10" x14ac:dyDescent="0.35">
      <c r="A93">
        <v>10551</v>
      </c>
      <c r="B93" s="1">
        <v>44892</v>
      </c>
      <c r="C93" t="s">
        <v>22</v>
      </c>
      <c r="D93" s="2">
        <v>9.9499999999999993</v>
      </c>
      <c r="E93" s="2">
        <v>201.01</v>
      </c>
      <c r="F93" t="s">
        <v>27</v>
      </c>
      <c r="G93" t="s">
        <v>19</v>
      </c>
      <c r="H93" t="s">
        <v>12</v>
      </c>
      <c r="I93" t="s">
        <v>29</v>
      </c>
      <c r="J93" s="2">
        <f>Table1[[#This Row],[Quantity]]*Table1[[#This Row],[Price]]</f>
        <v>2000.0494999999999</v>
      </c>
    </row>
    <row r="94" spans="1:10" x14ac:dyDescent="0.35">
      <c r="A94">
        <v>10552</v>
      </c>
      <c r="B94" s="1">
        <v>44892</v>
      </c>
      <c r="C94" t="s">
        <v>9</v>
      </c>
      <c r="D94" s="2">
        <v>3.49</v>
      </c>
      <c r="E94" s="2">
        <v>630.37</v>
      </c>
      <c r="F94" t="s">
        <v>10</v>
      </c>
      <c r="G94" t="s">
        <v>19</v>
      </c>
      <c r="H94" t="s">
        <v>12</v>
      </c>
      <c r="I94" t="s">
        <v>29</v>
      </c>
      <c r="J94" s="2">
        <f>Table1[[#This Row],[Quantity]]*Table1[[#This Row],[Price]]</f>
        <v>2199.9913000000001</v>
      </c>
    </row>
    <row r="95" spans="1:10" x14ac:dyDescent="0.35">
      <c r="A95">
        <v>10553</v>
      </c>
      <c r="B95" s="1">
        <v>44892</v>
      </c>
      <c r="C95" t="s">
        <v>13</v>
      </c>
      <c r="D95" s="2">
        <v>2.95</v>
      </c>
      <c r="E95" s="2">
        <v>745.76</v>
      </c>
      <c r="F95" t="s">
        <v>10</v>
      </c>
      <c r="G95" t="s">
        <v>19</v>
      </c>
      <c r="H95" t="s">
        <v>12</v>
      </c>
      <c r="I95" t="s">
        <v>29</v>
      </c>
      <c r="J95" s="2">
        <f>Table1[[#This Row],[Quantity]]*Table1[[#This Row],[Price]]</f>
        <v>2199.9920000000002</v>
      </c>
    </row>
    <row r="96" spans="1:10" x14ac:dyDescent="0.35">
      <c r="A96">
        <v>10554</v>
      </c>
      <c r="B96" s="1">
        <v>44892</v>
      </c>
      <c r="C96" t="s">
        <v>15</v>
      </c>
      <c r="D96" s="2">
        <v>4.99</v>
      </c>
      <c r="E96" s="2">
        <v>200.4</v>
      </c>
      <c r="F96" t="s">
        <v>10</v>
      </c>
      <c r="G96" t="s">
        <v>19</v>
      </c>
      <c r="H96" t="s">
        <v>12</v>
      </c>
      <c r="I96" t="s">
        <v>29</v>
      </c>
      <c r="J96" s="2">
        <f>Table1[[#This Row],[Quantity]]*Table1[[#This Row],[Price]]</f>
        <v>999.99600000000009</v>
      </c>
    </row>
    <row r="97" spans="1:10" x14ac:dyDescent="0.35">
      <c r="A97">
        <v>10555</v>
      </c>
      <c r="B97" s="1">
        <v>44893</v>
      </c>
      <c r="C97" t="s">
        <v>18</v>
      </c>
      <c r="D97" s="2">
        <v>12.99</v>
      </c>
      <c r="E97" s="2">
        <v>477.29</v>
      </c>
      <c r="F97" t="s">
        <v>10</v>
      </c>
      <c r="G97" t="s">
        <v>19</v>
      </c>
      <c r="H97" t="s">
        <v>12</v>
      </c>
      <c r="I97" t="s">
        <v>29</v>
      </c>
      <c r="J97" s="2">
        <f>Table1[[#This Row],[Quantity]]*Table1[[#This Row],[Price]]</f>
        <v>6199.9971000000005</v>
      </c>
    </row>
    <row r="98" spans="1:10" x14ac:dyDescent="0.35">
      <c r="A98">
        <v>10556</v>
      </c>
      <c r="B98" s="1">
        <v>44893</v>
      </c>
      <c r="C98" t="s">
        <v>22</v>
      </c>
      <c r="D98" s="2">
        <v>9.9499999999999993</v>
      </c>
      <c r="E98" s="2">
        <v>201.01</v>
      </c>
      <c r="F98" t="s">
        <v>10</v>
      </c>
      <c r="G98" t="s">
        <v>19</v>
      </c>
      <c r="H98" t="s">
        <v>12</v>
      </c>
      <c r="I98" t="s">
        <v>29</v>
      </c>
      <c r="J98" s="2">
        <f>Table1[[#This Row],[Quantity]]*Table1[[#This Row],[Price]]</f>
        <v>2000.0494999999999</v>
      </c>
    </row>
    <row r="99" spans="1:10" x14ac:dyDescent="0.35">
      <c r="A99">
        <v>10557</v>
      </c>
      <c r="B99" s="1">
        <v>44893</v>
      </c>
      <c r="C99" t="s">
        <v>9</v>
      </c>
      <c r="D99" s="2">
        <v>3.49</v>
      </c>
      <c r="E99" s="2">
        <v>630.37</v>
      </c>
      <c r="F99" t="s">
        <v>10</v>
      </c>
      <c r="G99" t="s">
        <v>19</v>
      </c>
      <c r="H99" t="s">
        <v>12</v>
      </c>
      <c r="I99" t="s">
        <v>29</v>
      </c>
      <c r="J99" s="2">
        <f>Table1[[#This Row],[Quantity]]*Table1[[#This Row],[Price]]</f>
        <v>2199.9913000000001</v>
      </c>
    </row>
    <row r="100" spans="1:10" x14ac:dyDescent="0.35">
      <c r="A100">
        <v>10558</v>
      </c>
      <c r="B100" s="1">
        <v>44893</v>
      </c>
      <c r="C100" t="s">
        <v>13</v>
      </c>
      <c r="D100" s="2">
        <v>2.95</v>
      </c>
      <c r="E100" s="2">
        <v>677.97</v>
      </c>
      <c r="F100" t="s">
        <v>10</v>
      </c>
      <c r="G100" t="s">
        <v>19</v>
      </c>
      <c r="H100" t="s">
        <v>12</v>
      </c>
      <c r="I100" t="s">
        <v>29</v>
      </c>
      <c r="J100" s="2">
        <f>Table1[[#This Row],[Quantity]]*Table1[[#This Row],[Price]]</f>
        <v>2000.0115000000003</v>
      </c>
    </row>
    <row r="101" spans="1:10" x14ac:dyDescent="0.35">
      <c r="A101">
        <v>10559</v>
      </c>
      <c r="B101" s="1">
        <v>44893</v>
      </c>
      <c r="C101" t="s">
        <v>15</v>
      </c>
      <c r="D101" s="2">
        <v>4.99</v>
      </c>
      <c r="E101" s="2">
        <v>200.4</v>
      </c>
      <c r="F101" t="s">
        <v>10</v>
      </c>
      <c r="G101" t="s">
        <v>19</v>
      </c>
      <c r="H101" t="s">
        <v>12</v>
      </c>
      <c r="I101" t="s">
        <v>29</v>
      </c>
      <c r="J101" s="2">
        <f>Table1[[#This Row],[Quantity]]*Table1[[#This Row],[Price]]</f>
        <v>999.99600000000009</v>
      </c>
    </row>
    <row r="102" spans="1:10" x14ac:dyDescent="0.35">
      <c r="A102">
        <v>10560</v>
      </c>
      <c r="B102" s="1">
        <v>44894</v>
      </c>
      <c r="C102" t="s">
        <v>18</v>
      </c>
      <c r="D102" s="2">
        <v>12.99</v>
      </c>
      <c r="E102" s="2">
        <v>477.29</v>
      </c>
      <c r="F102" t="s">
        <v>10</v>
      </c>
      <c r="G102" t="s">
        <v>19</v>
      </c>
      <c r="H102" t="s">
        <v>12</v>
      </c>
      <c r="I102" t="s">
        <v>29</v>
      </c>
      <c r="J102" s="2">
        <f>Table1[[#This Row],[Quantity]]*Table1[[#This Row],[Price]]</f>
        <v>6199.9971000000005</v>
      </c>
    </row>
    <row r="103" spans="1:10" x14ac:dyDescent="0.35">
      <c r="A103">
        <v>10561</v>
      </c>
      <c r="B103" s="1">
        <v>44894</v>
      </c>
      <c r="C103" t="s">
        <v>22</v>
      </c>
      <c r="D103" s="2">
        <v>9.9499999999999993</v>
      </c>
      <c r="E103" s="2">
        <v>201.01</v>
      </c>
      <c r="F103" t="s">
        <v>10</v>
      </c>
      <c r="G103" t="s">
        <v>19</v>
      </c>
      <c r="H103" t="s">
        <v>12</v>
      </c>
      <c r="I103" t="s">
        <v>29</v>
      </c>
      <c r="J103" s="2">
        <f>Table1[[#This Row],[Quantity]]*Table1[[#This Row],[Price]]</f>
        <v>2000.0494999999999</v>
      </c>
    </row>
    <row r="104" spans="1:10" x14ac:dyDescent="0.35">
      <c r="A104">
        <v>10562</v>
      </c>
      <c r="B104" s="1">
        <v>44894</v>
      </c>
      <c r="C104" t="s">
        <v>9</v>
      </c>
      <c r="D104" s="2">
        <v>3.49</v>
      </c>
      <c r="E104" s="2">
        <v>630.37</v>
      </c>
      <c r="F104" t="s">
        <v>10</v>
      </c>
      <c r="G104" t="s">
        <v>19</v>
      </c>
      <c r="H104" t="s">
        <v>12</v>
      </c>
      <c r="I104" t="s">
        <v>29</v>
      </c>
      <c r="J104" s="2">
        <f>Table1[[#This Row],[Quantity]]*Table1[[#This Row],[Price]]</f>
        <v>2199.9913000000001</v>
      </c>
    </row>
    <row r="105" spans="1:10" x14ac:dyDescent="0.35">
      <c r="A105">
        <v>10563</v>
      </c>
      <c r="B105" s="1">
        <v>44894</v>
      </c>
      <c r="C105" t="s">
        <v>13</v>
      </c>
      <c r="D105" s="2">
        <v>2.95</v>
      </c>
      <c r="E105" s="2">
        <v>677.97</v>
      </c>
      <c r="F105" t="s">
        <v>10</v>
      </c>
      <c r="G105" t="s">
        <v>19</v>
      </c>
      <c r="H105" t="s">
        <v>12</v>
      </c>
      <c r="I105" t="s">
        <v>29</v>
      </c>
      <c r="J105" s="2">
        <f>Table1[[#This Row],[Quantity]]*Table1[[#This Row],[Price]]</f>
        <v>2000.0115000000003</v>
      </c>
    </row>
    <row r="106" spans="1:10" x14ac:dyDescent="0.35">
      <c r="A106">
        <v>10564</v>
      </c>
      <c r="B106" s="1">
        <v>44894</v>
      </c>
      <c r="C106" t="s">
        <v>15</v>
      </c>
      <c r="D106" s="2">
        <v>4.99</v>
      </c>
      <c r="E106" s="2">
        <v>200.4</v>
      </c>
      <c r="F106" t="s">
        <v>10</v>
      </c>
      <c r="G106" t="s">
        <v>19</v>
      </c>
      <c r="H106" t="s">
        <v>12</v>
      </c>
      <c r="I106" t="s">
        <v>29</v>
      </c>
      <c r="J106" s="2">
        <f>Table1[[#This Row],[Quantity]]*Table1[[#This Row],[Price]]</f>
        <v>999.99600000000009</v>
      </c>
    </row>
    <row r="107" spans="1:10" x14ac:dyDescent="0.35">
      <c r="A107">
        <v>10565</v>
      </c>
      <c r="B107" s="1">
        <v>44895</v>
      </c>
      <c r="C107" t="s">
        <v>18</v>
      </c>
      <c r="D107" s="2">
        <v>12.99</v>
      </c>
      <c r="E107" s="2">
        <v>492.69</v>
      </c>
      <c r="F107" t="s">
        <v>10</v>
      </c>
      <c r="G107" t="s">
        <v>19</v>
      </c>
      <c r="H107" t="s">
        <v>12</v>
      </c>
      <c r="I107" t="s">
        <v>29</v>
      </c>
      <c r="J107" s="2">
        <f>Table1[[#This Row],[Quantity]]*Table1[[#This Row],[Price]]</f>
        <v>6400.0430999999999</v>
      </c>
    </row>
    <row r="108" spans="1:10" x14ac:dyDescent="0.35">
      <c r="A108">
        <v>10566</v>
      </c>
      <c r="B108" s="1">
        <v>44895</v>
      </c>
      <c r="C108" t="s">
        <v>22</v>
      </c>
      <c r="D108" s="2">
        <v>9.9499999999999993</v>
      </c>
      <c r="E108" s="2">
        <v>201.01</v>
      </c>
      <c r="F108" t="s">
        <v>10</v>
      </c>
      <c r="G108" t="s">
        <v>19</v>
      </c>
      <c r="H108" t="s">
        <v>12</v>
      </c>
      <c r="I108" t="s">
        <v>29</v>
      </c>
      <c r="J108" s="2">
        <f>Table1[[#This Row],[Quantity]]*Table1[[#This Row],[Price]]</f>
        <v>2000.0494999999999</v>
      </c>
    </row>
    <row r="109" spans="1:10" x14ac:dyDescent="0.35">
      <c r="A109">
        <v>10567</v>
      </c>
      <c r="B109" s="1">
        <v>44895</v>
      </c>
      <c r="C109" t="s">
        <v>9</v>
      </c>
      <c r="D109" s="2">
        <v>3.49</v>
      </c>
      <c r="E109" s="2">
        <v>630.37</v>
      </c>
      <c r="F109" t="s">
        <v>10</v>
      </c>
      <c r="G109" t="s">
        <v>19</v>
      </c>
      <c r="H109" t="s">
        <v>12</v>
      </c>
      <c r="I109" t="s">
        <v>29</v>
      </c>
      <c r="J109" s="2">
        <f>Table1[[#This Row],[Quantity]]*Table1[[#This Row],[Price]]</f>
        <v>2199.9913000000001</v>
      </c>
    </row>
    <row r="110" spans="1:10" x14ac:dyDescent="0.35">
      <c r="A110">
        <v>10568</v>
      </c>
      <c r="B110" s="1">
        <v>44895</v>
      </c>
      <c r="C110" t="s">
        <v>13</v>
      </c>
      <c r="D110" s="2">
        <v>2.95</v>
      </c>
      <c r="E110" s="2">
        <v>677.97</v>
      </c>
      <c r="F110" t="s">
        <v>10</v>
      </c>
      <c r="G110" t="s">
        <v>19</v>
      </c>
      <c r="H110" t="s">
        <v>12</v>
      </c>
      <c r="I110" t="s">
        <v>29</v>
      </c>
      <c r="J110" s="2">
        <f>Table1[[#This Row],[Quantity]]*Table1[[#This Row],[Price]]</f>
        <v>2000.0115000000003</v>
      </c>
    </row>
    <row r="111" spans="1:10" x14ac:dyDescent="0.35">
      <c r="A111">
        <v>10569</v>
      </c>
      <c r="B111" s="1">
        <v>44895</v>
      </c>
      <c r="C111" t="s">
        <v>15</v>
      </c>
      <c r="D111" s="2">
        <v>4.99</v>
      </c>
      <c r="E111" s="2">
        <v>200.4</v>
      </c>
      <c r="F111" t="s">
        <v>10</v>
      </c>
      <c r="G111" t="s">
        <v>19</v>
      </c>
      <c r="H111" t="s">
        <v>12</v>
      </c>
      <c r="I111" t="s">
        <v>29</v>
      </c>
      <c r="J111" s="2">
        <f>Table1[[#This Row],[Quantity]]*Table1[[#This Row],[Price]]</f>
        <v>999.99600000000009</v>
      </c>
    </row>
    <row r="112" spans="1:10" x14ac:dyDescent="0.35">
      <c r="A112">
        <v>10570</v>
      </c>
      <c r="B112" s="1">
        <v>44896</v>
      </c>
      <c r="C112" t="s">
        <v>18</v>
      </c>
      <c r="D112" s="2">
        <v>12.99</v>
      </c>
      <c r="E112" s="2">
        <v>492.69</v>
      </c>
      <c r="F112" t="s">
        <v>10</v>
      </c>
      <c r="G112" t="s">
        <v>19</v>
      </c>
      <c r="H112" t="s">
        <v>12</v>
      </c>
      <c r="I112" t="s">
        <v>29</v>
      </c>
      <c r="J112" s="2">
        <f>Table1[[#This Row],[Quantity]]*Table1[[#This Row],[Price]]</f>
        <v>6400.0430999999999</v>
      </c>
    </row>
    <row r="113" spans="1:10" x14ac:dyDescent="0.35">
      <c r="A113">
        <v>10571</v>
      </c>
      <c r="B113" s="1">
        <v>44896</v>
      </c>
      <c r="C113" t="s">
        <v>22</v>
      </c>
      <c r="D113" s="2">
        <v>9.9499999999999993</v>
      </c>
      <c r="E113" s="2">
        <v>201.01</v>
      </c>
      <c r="F113" t="s">
        <v>10</v>
      </c>
      <c r="G113" t="s">
        <v>19</v>
      </c>
      <c r="H113" t="s">
        <v>12</v>
      </c>
      <c r="I113" t="s">
        <v>29</v>
      </c>
      <c r="J113" s="2">
        <f>Table1[[#This Row],[Quantity]]*Table1[[#This Row],[Price]]</f>
        <v>2000.0494999999999</v>
      </c>
    </row>
    <row r="114" spans="1:10" x14ac:dyDescent="0.35">
      <c r="A114">
        <v>10572</v>
      </c>
      <c r="B114" s="1">
        <v>44896</v>
      </c>
      <c r="C114" t="s">
        <v>9</v>
      </c>
      <c r="D114" s="2">
        <v>3.49</v>
      </c>
      <c r="E114" s="2">
        <v>573.07000000000005</v>
      </c>
      <c r="F114" t="s">
        <v>10</v>
      </c>
      <c r="G114" t="s">
        <v>19</v>
      </c>
      <c r="H114" t="s">
        <v>23</v>
      </c>
      <c r="I114" t="s">
        <v>24</v>
      </c>
      <c r="J114" s="2">
        <f>Table1[[#This Row],[Quantity]]*Table1[[#This Row],[Price]]</f>
        <v>2000.0143000000003</v>
      </c>
    </row>
    <row r="115" spans="1:10" x14ac:dyDescent="0.35">
      <c r="A115">
        <v>10573</v>
      </c>
      <c r="B115" s="1">
        <v>44896</v>
      </c>
      <c r="C115" t="s">
        <v>13</v>
      </c>
      <c r="D115" s="2">
        <v>2.95</v>
      </c>
      <c r="E115" s="2">
        <v>677.97</v>
      </c>
      <c r="F115" t="s">
        <v>10</v>
      </c>
      <c r="G115" t="s">
        <v>19</v>
      </c>
      <c r="H115" t="s">
        <v>23</v>
      </c>
      <c r="I115" t="s">
        <v>24</v>
      </c>
      <c r="J115" s="2">
        <f>Table1[[#This Row],[Quantity]]*Table1[[#This Row],[Price]]</f>
        <v>2000.0115000000003</v>
      </c>
    </row>
    <row r="116" spans="1:10" x14ac:dyDescent="0.35">
      <c r="A116">
        <v>10574</v>
      </c>
      <c r="B116" s="1">
        <v>44896</v>
      </c>
      <c r="C116" t="s">
        <v>15</v>
      </c>
      <c r="D116" s="2">
        <v>4.99</v>
      </c>
      <c r="E116" s="2">
        <v>200.4</v>
      </c>
      <c r="F116" t="s">
        <v>10</v>
      </c>
      <c r="G116" t="s">
        <v>19</v>
      </c>
      <c r="H116" t="s">
        <v>23</v>
      </c>
      <c r="I116" t="s">
        <v>24</v>
      </c>
      <c r="J116" s="2">
        <f>Table1[[#This Row],[Quantity]]*Table1[[#This Row],[Price]]</f>
        <v>999.99600000000009</v>
      </c>
    </row>
    <row r="117" spans="1:10" x14ac:dyDescent="0.35">
      <c r="A117">
        <v>10575</v>
      </c>
      <c r="B117" s="1">
        <v>44897</v>
      </c>
      <c r="C117" t="s">
        <v>18</v>
      </c>
      <c r="D117" s="2">
        <v>12.99</v>
      </c>
      <c r="E117" s="2">
        <v>523.48</v>
      </c>
      <c r="F117" t="s">
        <v>10</v>
      </c>
      <c r="G117" t="s">
        <v>19</v>
      </c>
      <c r="H117" t="s">
        <v>23</v>
      </c>
      <c r="I117" t="s">
        <v>24</v>
      </c>
      <c r="J117" s="2">
        <f>Table1[[#This Row],[Quantity]]*Table1[[#This Row],[Price]]</f>
        <v>6800.0052000000005</v>
      </c>
    </row>
    <row r="118" spans="1:10" x14ac:dyDescent="0.35">
      <c r="A118">
        <v>10576</v>
      </c>
      <c r="B118" s="1">
        <v>44897</v>
      </c>
      <c r="C118" t="s">
        <v>22</v>
      </c>
      <c r="D118" s="2">
        <v>9.9499999999999993</v>
      </c>
      <c r="E118" s="2">
        <v>201.01</v>
      </c>
      <c r="F118" t="s">
        <v>10</v>
      </c>
      <c r="G118" t="s">
        <v>19</v>
      </c>
      <c r="H118" t="s">
        <v>23</v>
      </c>
      <c r="I118" t="s">
        <v>24</v>
      </c>
      <c r="J118" s="2">
        <f>Table1[[#This Row],[Quantity]]*Table1[[#This Row],[Price]]</f>
        <v>2000.0494999999999</v>
      </c>
    </row>
    <row r="119" spans="1:10" x14ac:dyDescent="0.35">
      <c r="A119">
        <v>10577</v>
      </c>
      <c r="B119" s="1">
        <v>44897</v>
      </c>
      <c r="C119" t="s">
        <v>9</v>
      </c>
      <c r="D119" s="2">
        <v>3.49</v>
      </c>
      <c r="E119" s="2">
        <v>630.37</v>
      </c>
      <c r="F119" t="s">
        <v>10</v>
      </c>
      <c r="G119" t="s">
        <v>19</v>
      </c>
      <c r="H119" t="s">
        <v>23</v>
      </c>
      <c r="I119" t="s">
        <v>24</v>
      </c>
      <c r="J119" s="2">
        <f>Table1[[#This Row],[Quantity]]*Table1[[#This Row],[Price]]</f>
        <v>2199.9913000000001</v>
      </c>
    </row>
    <row r="120" spans="1:10" x14ac:dyDescent="0.35">
      <c r="A120">
        <v>10578</v>
      </c>
      <c r="B120" s="1">
        <v>44897</v>
      </c>
      <c r="C120" t="s">
        <v>13</v>
      </c>
      <c r="D120" s="2">
        <v>2.95</v>
      </c>
      <c r="E120" s="2">
        <v>677.97</v>
      </c>
      <c r="F120" t="s">
        <v>10</v>
      </c>
      <c r="G120" t="s">
        <v>19</v>
      </c>
      <c r="H120" t="s">
        <v>23</v>
      </c>
      <c r="I120" t="s">
        <v>24</v>
      </c>
      <c r="J120" s="2">
        <f>Table1[[#This Row],[Quantity]]*Table1[[#This Row],[Price]]</f>
        <v>2000.0115000000003</v>
      </c>
    </row>
    <row r="121" spans="1:10" x14ac:dyDescent="0.35">
      <c r="A121">
        <v>10579</v>
      </c>
      <c r="B121" s="1">
        <v>44897</v>
      </c>
      <c r="C121" t="s">
        <v>15</v>
      </c>
      <c r="D121" s="2">
        <v>4.99</v>
      </c>
      <c r="E121" s="2">
        <v>200.4</v>
      </c>
      <c r="F121" t="s">
        <v>10</v>
      </c>
      <c r="G121" t="s">
        <v>19</v>
      </c>
      <c r="H121" t="s">
        <v>23</v>
      </c>
      <c r="I121" t="s">
        <v>24</v>
      </c>
      <c r="J121" s="2">
        <f>Table1[[#This Row],[Quantity]]*Table1[[#This Row],[Price]]</f>
        <v>999.99600000000009</v>
      </c>
    </row>
    <row r="122" spans="1:10" x14ac:dyDescent="0.35">
      <c r="A122">
        <v>10580</v>
      </c>
      <c r="B122" s="1">
        <v>44898</v>
      </c>
      <c r="C122" t="s">
        <v>18</v>
      </c>
      <c r="D122" s="2">
        <v>12.99</v>
      </c>
      <c r="E122" s="2">
        <v>523.48</v>
      </c>
      <c r="F122" t="s">
        <v>10</v>
      </c>
      <c r="G122" t="s">
        <v>19</v>
      </c>
      <c r="H122" t="s">
        <v>23</v>
      </c>
      <c r="I122" t="s">
        <v>24</v>
      </c>
      <c r="J122" s="2">
        <f>Table1[[#This Row],[Quantity]]*Table1[[#This Row],[Price]]</f>
        <v>6800.0052000000005</v>
      </c>
    </row>
    <row r="123" spans="1:10" x14ac:dyDescent="0.35">
      <c r="A123">
        <v>10581</v>
      </c>
      <c r="B123" s="1">
        <v>44898</v>
      </c>
      <c r="C123" t="s">
        <v>22</v>
      </c>
      <c r="D123" s="2">
        <v>9.9499999999999993</v>
      </c>
      <c r="E123" s="2">
        <v>201.01</v>
      </c>
      <c r="F123" t="s">
        <v>10</v>
      </c>
      <c r="G123" t="s">
        <v>19</v>
      </c>
      <c r="H123" t="s">
        <v>23</v>
      </c>
      <c r="I123" t="s">
        <v>24</v>
      </c>
      <c r="J123" s="2">
        <f>Table1[[#This Row],[Quantity]]*Table1[[#This Row],[Price]]</f>
        <v>2000.0494999999999</v>
      </c>
    </row>
    <row r="124" spans="1:10" x14ac:dyDescent="0.35">
      <c r="A124">
        <v>10582</v>
      </c>
      <c r="B124" s="1">
        <v>44898</v>
      </c>
      <c r="C124" t="s">
        <v>9</v>
      </c>
      <c r="D124" s="2">
        <v>3.49</v>
      </c>
      <c r="E124" s="2">
        <v>630.37</v>
      </c>
      <c r="F124" t="s">
        <v>10</v>
      </c>
      <c r="G124" t="s">
        <v>19</v>
      </c>
      <c r="H124" t="s">
        <v>12</v>
      </c>
      <c r="I124" t="s">
        <v>29</v>
      </c>
      <c r="J124" s="2">
        <f>Table1[[#This Row],[Quantity]]*Table1[[#This Row],[Price]]</f>
        <v>2199.9913000000001</v>
      </c>
    </row>
    <row r="125" spans="1:10" x14ac:dyDescent="0.35">
      <c r="A125">
        <v>10583</v>
      </c>
      <c r="B125" s="1">
        <v>44898</v>
      </c>
      <c r="C125" t="s">
        <v>13</v>
      </c>
      <c r="D125" s="2">
        <v>2.95</v>
      </c>
      <c r="E125" s="2">
        <v>677.97</v>
      </c>
      <c r="F125" t="s">
        <v>10</v>
      </c>
      <c r="G125" t="s">
        <v>19</v>
      </c>
      <c r="H125" t="s">
        <v>12</v>
      </c>
      <c r="I125" t="s">
        <v>29</v>
      </c>
      <c r="J125" s="2">
        <f>Table1[[#This Row],[Quantity]]*Table1[[#This Row],[Price]]</f>
        <v>2000.0115000000003</v>
      </c>
    </row>
    <row r="126" spans="1:10" x14ac:dyDescent="0.35">
      <c r="A126">
        <v>10584</v>
      </c>
      <c r="B126" s="1">
        <v>44898</v>
      </c>
      <c r="C126" t="s">
        <v>15</v>
      </c>
      <c r="D126" s="2">
        <v>4.99</v>
      </c>
      <c r="E126" s="2">
        <v>200.4</v>
      </c>
      <c r="F126" t="s">
        <v>10</v>
      </c>
      <c r="G126" t="s">
        <v>19</v>
      </c>
      <c r="H126" t="s">
        <v>12</v>
      </c>
      <c r="I126" t="s">
        <v>29</v>
      </c>
      <c r="J126" s="2">
        <f>Table1[[#This Row],[Quantity]]*Table1[[#This Row],[Price]]</f>
        <v>999.99600000000009</v>
      </c>
    </row>
    <row r="127" spans="1:10" x14ac:dyDescent="0.35">
      <c r="A127">
        <v>10585</v>
      </c>
      <c r="B127" s="1">
        <v>44899</v>
      </c>
      <c r="C127" t="s">
        <v>18</v>
      </c>
      <c r="D127" s="2">
        <v>12.99</v>
      </c>
      <c r="E127" s="2">
        <v>538.88</v>
      </c>
      <c r="F127" t="s">
        <v>10</v>
      </c>
      <c r="G127" t="s">
        <v>19</v>
      </c>
      <c r="H127" t="s">
        <v>12</v>
      </c>
      <c r="I127" t="s">
        <v>29</v>
      </c>
      <c r="J127" s="2">
        <f>Table1[[#This Row],[Quantity]]*Table1[[#This Row],[Price]]</f>
        <v>7000.0511999999999</v>
      </c>
    </row>
    <row r="128" spans="1:10" x14ac:dyDescent="0.35">
      <c r="A128">
        <v>10586</v>
      </c>
      <c r="B128" s="1">
        <v>44899</v>
      </c>
      <c r="C128" t="s">
        <v>22</v>
      </c>
      <c r="D128" s="2">
        <v>9.9499999999999993</v>
      </c>
      <c r="E128" s="2">
        <v>201.01</v>
      </c>
      <c r="F128" t="s">
        <v>10</v>
      </c>
      <c r="G128" t="s">
        <v>19</v>
      </c>
      <c r="H128" t="s">
        <v>12</v>
      </c>
      <c r="I128" t="s">
        <v>29</v>
      </c>
      <c r="J128" s="2">
        <f>Table1[[#This Row],[Quantity]]*Table1[[#This Row],[Price]]</f>
        <v>2000.0494999999999</v>
      </c>
    </row>
    <row r="129" spans="1:10" x14ac:dyDescent="0.35">
      <c r="A129">
        <v>10537</v>
      </c>
      <c r="B129" s="1">
        <v>44889</v>
      </c>
      <c r="C129" t="s">
        <v>9</v>
      </c>
      <c r="D129" s="2">
        <v>3.49</v>
      </c>
      <c r="E129" s="2">
        <v>630.37</v>
      </c>
      <c r="F129" t="s">
        <v>27</v>
      </c>
      <c r="G129" t="s">
        <v>19</v>
      </c>
      <c r="H129" t="s">
        <v>14</v>
      </c>
      <c r="I129" t="s">
        <v>25</v>
      </c>
      <c r="J129" s="2">
        <f>Table1[[#This Row],[Quantity]]*Table1[[#This Row],[Price]]</f>
        <v>2199.9913000000001</v>
      </c>
    </row>
    <row r="130" spans="1:10" x14ac:dyDescent="0.35">
      <c r="A130">
        <v>10538</v>
      </c>
      <c r="B130" s="1">
        <v>44889</v>
      </c>
      <c r="C130" t="s">
        <v>13</v>
      </c>
      <c r="D130" s="2">
        <v>2.95</v>
      </c>
      <c r="E130" s="2">
        <v>745.76</v>
      </c>
      <c r="F130" t="s">
        <v>27</v>
      </c>
      <c r="G130" t="s">
        <v>19</v>
      </c>
      <c r="H130" t="s">
        <v>14</v>
      </c>
      <c r="I130" t="s">
        <v>25</v>
      </c>
      <c r="J130" s="2">
        <f>Table1[[#This Row],[Quantity]]*Table1[[#This Row],[Price]]</f>
        <v>2199.9920000000002</v>
      </c>
    </row>
    <row r="131" spans="1:10" x14ac:dyDescent="0.35">
      <c r="A131">
        <v>10539</v>
      </c>
      <c r="B131" s="1">
        <v>44889</v>
      </c>
      <c r="C131" t="s">
        <v>15</v>
      </c>
      <c r="D131" s="2">
        <v>4.99</v>
      </c>
      <c r="E131" s="2">
        <v>200.4</v>
      </c>
      <c r="F131" t="s">
        <v>27</v>
      </c>
      <c r="G131" t="s">
        <v>19</v>
      </c>
      <c r="H131" t="s">
        <v>14</v>
      </c>
      <c r="I131" t="s">
        <v>25</v>
      </c>
      <c r="J131" s="2">
        <f>Table1[[#This Row],[Quantity]]*Table1[[#This Row],[Price]]</f>
        <v>999.99600000000009</v>
      </c>
    </row>
    <row r="132" spans="1:10" x14ac:dyDescent="0.35">
      <c r="A132">
        <v>10590</v>
      </c>
      <c r="B132" s="1">
        <v>44900</v>
      </c>
      <c r="C132" t="s">
        <v>18</v>
      </c>
      <c r="D132" s="2">
        <v>12.99</v>
      </c>
      <c r="E132" s="2">
        <v>554.27</v>
      </c>
      <c r="F132" t="s">
        <v>10</v>
      </c>
      <c r="G132" t="s">
        <v>19</v>
      </c>
      <c r="H132" t="s">
        <v>12</v>
      </c>
      <c r="I132" t="s">
        <v>29</v>
      </c>
      <c r="J132" s="2">
        <f>Table1[[#This Row],[Quantity]]*Table1[[#This Row],[Price]]</f>
        <v>7199.9673000000003</v>
      </c>
    </row>
    <row r="133" spans="1:10" x14ac:dyDescent="0.35">
      <c r="A133">
        <v>10591</v>
      </c>
      <c r="B133" s="1">
        <v>44900</v>
      </c>
      <c r="C133" t="s">
        <v>22</v>
      </c>
      <c r="D133" s="2">
        <v>9.9499999999999993</v>
      </c>
      <c r="E133" s="2">
        <v>201.01</v>
      </c>
      <c r="F133" t="s">
        <v>10</v>
      </c>
      <c r="G133" t="s">
        <v>19</v>
      </c>
      <c r="H133" t="s">
        <v>12</v>
      </c>
      <c r="I133" t="s">
        <v>29</v>
      </c>
      <c r="J133" s="2">
        <f>Table1[[#This Row],[Quantity]]*Table1[[#This Row],[Price]]</f>
        <v>2000.0494999999999</v>
      </c>
    </row>
    <row r="134" spans="1:10" x14ac:dyDescent="0.35">
      <c r="A134">
        <v>10592</v>
      </c>
      <c r="B134" s="1">
        <v>44900</v>
      </c>
      <c r="C134" t="s">
        <v>9</v>
      </c>
      <c r="D134" s="2">
        <v>3.49</v>
      </c>
      <c r="E134" s="2">
        <v>573.07000000000005</v>
      </c>
      <c r="F134" t="s">
        <v>10</v>
      </c>
      <c r="G134" t="s">
        <v>19</v>
      </c>
      <c r="H134" t="s">
        <v>12</v>
      </c>
      <c r="I134" t="s">
        <v>29</v>
      </c>
      <c r="J134" s="2">
        <f>Table1[[#This Row],[Quantity]]*Table1[[#This Row],[Price]]</f>
        <v>2000.0143000000003</v>
      </c>
    </row>
    <row r="135" spans="1:10" x14ac:dyDescent="0.35">
      <c r="A135">
        <v>10593</v>
      </c>
      <c r="B135" s="1">
        <v>44900</v>
      </c>
      <c r="C135" t="s">
        <v>13</v>
      </c>
      <c r="D135" s="2">
        <v>2.95</v>
      </c>
      <c r="E135" s="2">
        <v>677.97</v>
      </c>
      <c r="F135" t="s">
        <v>10</v>
      </c>
      <c r="G135" t="s">
        <v>19</v>
      </c>
      <c r="H135" t="s">
        <v>12</v>
      </c>
      <c r="I135" t="s">
        <v>29</v>
      </c>
      <c r="J135" s="2">
        <f>Table1[[#This Row],[Quantity]]*Table1[[#This Row],[Price]]</f>
        <v>2000.0115000000003</v>
      </c>
    </row>
    <row r="136" spans="1:10" x14ac:dyDescent="0.35">
      <c r="A136">
        <v>10594</v>
      </c>
      <c r="B136" s="1">
        <v>44900</v>
      </c>
      <c r="C136" t="s">
        <v>15</v>
      </c>
      <c r="D136" s="2">
        <v>4.99</v>
      </c>
      <c r="E136" s="2">
        <v>200.4</v>
      </c>
      <c r="F136" t="s">
        <v>10</v>
      </c>
      <c r="G136" t="s">
        <v>19</v>
      </c>
      <c r="H136" t="s">
        <v>12</v>
      </c>
      <c r="I136" t="s">
        <v>29</v>
      </c>
      <c r="J136" s="2">
        <f>Table1[[#This Row],[Quantity]]*Table1[[#This Row],[Price]]</f>
        <v>999.99600000000009</v>
      </c>
    </row>
    <row r="137" spans="1:10" x14ac:dyDescent="0.35">
      <c r="A137">
        <v>10595</v>
      </c>
      <c r="B137" s="1">
        <v>44901</v>
      </c>
      <c r="C137" t="s">
        <v>18</v>
      </c>
      <c r="D137" s="2">
        <v>12.99</v>
      </c>
      <c r="E137" s="2">
        <v>538.88</v>
      </c>
      <c r="F137" t="s">
        <v>10</v>
      </c>
      <c r="G137" t="s">
        <v>19</v>
      </c>
      <c r="H137" t="s">
        <v>12</v>
      </c>
      <c r="I137" t="s">
        <v>29</v>
      </c>
      <c r="J137" s="2">
        <f>Table1[[#This Row],[Quantity]]*Table1[[#This Row],[Price]]</f>
        <v>7000.0511999999999</v>
      </c>
    </row>
    <row r="138" spans="1:10" x14ac:dyDescent="0.35">
      <c r="A138">
        <v>10596</v>
      </c>
      <c r="B138" s="1">
        <v>44901</v>
      </c>
      <c r="C138" t="s">
        <v>22</v>
      </c>
      <c r="D138" s="2">
        <v>9.9499999999999993</v>
      </c>
      <c r="E138" s="2">
        <v>201.01</v>
      </c>
      <c r="F138" t="s">
        <v>10</v>
      </c>
      <c r="G138" t="s">
        <v>19</v>
      </c>
      <c r="H138" t="s">
        <v>12</v>
      </c>
      <c r="I138" t="s">
        <v>29</v>
      </c>
      <c r="J138" s="2">
        <f>Table1[[#This Row],[Quantity]]*Table1[[#This Row],[Price]]</f>
        <v>2000.0494999999999</v>
      </c>
    </row>
    <row r="139" spans="1:10" x14ac:dyDescent="0.35">
      <c r="A139">
        <v>10597</v>
      </c>
      <c r="B139" s="1">
        <v>44901</v>
      </c>
      <c r="C139" t="s">
        <v>9</v>
      </c>
      <c r="D139" s="2">
        <v>3.49</v>
      </c>
      <c r="E139" s="2">
        <v>573.07000000000005</v>
      </c>
      <c r="F139" t="s">
        <v>10</v>
      </c>
      <c r="G139" t="s">
        <v>19</v>
      </c>
      <c r="H139" t="s">
        <v>12</v>
      </c>
      <c r="I139" t="s">
        <v>29</v>
      </c>
      <c r="J139" s="2">
        <f>Table1[[#This Row],[Quantity]]*Table1[[#This Row],[Price]]</f>
        <v>2000.0143000000003</v>
      </c>
    </row>
    <row r="140" spans="1:10" x14ac:dyDescent="0.35">
      <c r="A140">
        <v>10598</v>
      </c>
      <c r="B140" s="1">
        <v>44901</v>
      </c>
      <c r="C140" t="s">
        <v>13</v>
      </c>
      <c r="D140" s="2">
        <v>2.95</v>
      </c>
      <c r="E140" s="2">
        <v>677.97</v>
      </c>
      <c r="F140" t="s">
        <v>10</v>
      </c>
      <c r="G140" t="s">
        <v>19</v>
      </c>
      <c r="H140" t="s">
        <v>12</v>
      </c>
      <c r="I140" t="s">
        <v>29</v>
      </c>
      <c r="J140" s="2">
        <f>Table1[[#This Row],[Quantity]]*Table1[[#This Row],[Price]]</f>
        <v>2000.0115000000003</v>
      </c>
    </row>
    <row r="141" spans="1:10" x14ac:dyDescent="0.35">
      <c r="A141">
        <v>10599</v>
      </c>
      <c r="B141" s="1">
        <v>44901</v>
      </c>
      <c r="C141" t="s">
        <v>15</v>
      </c>
      <c r="D141" s="2">
        <v>4.99</v>
      </c>
      <c r="E141" s="2">
        <v>200.4</v>
      </c>
      <c r="F141" t="s">
        <v>10</v>
      </c>
      <c r="G141" t="s">
        <v>19</v>
      </c>
      <c r="H141" t="s">
        <v>12</v>
      </c>
      <c r="I141" t="s">
        <v>29</v>
      </c>
      <c r="J141" s="2">
        <f>Table1[[#This Row],[Quantity]]*Table1[[#This Row],[Price]]</f>
        <v>999.99600000000009</v>
      </c>
    </row>
    <row r="142" spans="1:10" x14ac:dyDescent="0.35">
      <c r="A142">
        <v>10600</v>
      </c>
      <c r="B142" s="1">
        <v>44902</v>
      </c>
      <c r="C142" t="s">
        <v>18</v>
      </c>
      <c r="D142" s="2">
        <v>12.99</v>
      </c>
      <c r="E142" s="2">
        <v>523.48</v>
      </c>
      <c r="F142" t="s">
        <v>10</v>
      </c>
      <c r="G142" t="s">
        <v>19</v>
      </c>
      <c r="H142" t="s">
        <v>12</v>
      </c>
      <c r="I142" t="s">
        <v>29</v>
      </c>
      <c r="J142" s="2">
        <f>Table1[[#This Row],[Quantity]]*Table1[[#This Row],[Price]]</f>
        <v>6800.0052000000005</v>
      </c>
    </row>
    <row r="143" spans="1:10" x14ac:dyDescent="0.35">
      <c r="A143">
        <v>10601</v>
      </c>
      <c r="B143" s="1">
        <v>44902</v>
      </c>
      <c r="C143" t="s">
        <v>22</v>
      </c>
      <c r="D143" s="2">
        <v>9.9499999999999993</v>
      </c>
      <c r="E143" s="2">
        <v>201.01</v>
      </c>
      <c r="F143" t="s">
        <v>10</v>
      </c>
      <c r="G143" t="s">
        <v>19</v>
      </c>
      <c r="H143" t="s">
        <v>12</v>
      </c>
      <c r="I143" t="s">
        <v>29</v>
      </c>
      <c r="J143" s="2">
        <f>Table1[[#This Row],[Quantity]]*Table1[[#This Row],[Price]]</f>
        <v>2000.0494999999999</v>
      </c>
    </row>
    <row r="144" spans="1:10" x14ac:dyDescent="0.35">
      <c r="A144">
        <v>10602</v>
      </c>
      <c r="B144" s="1">
        <v>44902</v>
      </c>
      <c r="C144" t="s">
        <v>9</v>
      </c>
      <c r="D144" s="2">
        <v>3.49</v>
      </c>
      <c r="E144" s="2">
        <v>630.37</v>
      </c>
      <c r="F144" t="s">
        <v>10</v>
      </c>
      <c r="G144" t="s">
        <v>28</v>
      </c>
      <c r="H144" t="s">
        <v>12</v>
      </c>
      <c r="I144" t="s">
        <v>29</v>
      </c>
      <c r="J144" s="2">
        <f>Table1[[#This Row],[Quantity]]*Table1[[#This Row],[Price]]</f>
        <v>2199.9913000000001</v>
      </c>
    </row>
    <row r="145" spans="1:10" x14ac:dyDescent="0.35">
      <c r="A145">
        <v>10603</v>
      </c>
      <c r="B145" s="1">
        <v>44902</v>
      </c>
      <c r="C145" t="s">
        <v>13</v>
      </c>
      <c r="D145" s="2">
        <v>2.95</v>
      </c>
      <c r="E145" s="2">
        <v>677.97</v>
      </c>
      <c r="F145" t="s">
        <v>10</v>
      </c>
      <c r="G145" t="s">
        <v>28</v>
      </c>
      <c r="H145" t="s">
        <v>12</v>
      </c>
      <c r="I145" t="s">
        <v>29</v>
      </c>
      <c r="J145" s="2">
        <f>Table1[[#This Row],[Quantity]]*Table1[[#This Row],[Price]]</f>
        <v>2000.0115000000003</v>
      </c>
    </row>
    <row r="146" spans="1:10" x14ac:dyDescent="0.35">
      <c r="A146">
        <v>10604</v>
      </c>
      <c r="B146" s="1">
        <v>44902</v>
      </c>
      <c r="C146" t="s">
        <v>15</v>
      </c>
      <c r="D146" s="2">
        <v>4.99</v>
      </c>
      <c r="E146" s="2">
        <v>200.4</v>
      </c>
      <c r="F146" t="s">
        <v>10</v>
      </c>
      <c r="G146" t="s">
        <v>28</v>
      </c>
      <c r="H146" t="s">
        <v>12</v>
      </c>
      <c r="I146" t="s">
        <v>29</v>
      </c>
      <c r="J146" s="2">
        <f>Table1[[#This Row],[Quantity]]*Table1[[#This Row],[Price]]</f>
        <v>999.99600000000009</v>
      </c>
    </row>
    <row r="147" spans="1:10" x14ac:dyDescent="0.35">
      <c r="A147">
        <v>10605</v>
      </c>
      <c r="B147" s="1">
        <v>44903</v>
      </c>
      <c r="C147" t="s">
        <v>18</v>
      </c>
      <c r="D147" s="2">
        <v>12.99</v>
      </c>
      <c r="E147" s="2">
        <v>538.88</v>
      </c>
      <c r="F147" t="s">
        <v>10</v>
      </c>
      <c r="G147" t="s">
        <v>28</v>
      </c>
      <c r="H147" t="s">
        <v>12</v>
      </c>
      <c r="I147" t="s">
        <v>29</v>
      </c>
      <c r="J147" s="2">
        <f>Table1[[#This Row],[Quantity]]*Table1[[#This Row],[Price]]</f>
        <v>7000.0511999999999</v>
      </c>
    </row>
    <row r="148" spans="1:10" x14ac:dyDescent="0.35">
      <c r="A148">
        <v>10606</v>
      </c>
      <c r="B148" s="1">
        <v>44903</v>
      </c>
      <c r="C148" t="s">
        <v>22</v>
      </c>
      <c r="D148" s="2">
        <v>9.9499999999999993</v>
      </c>
      <c r="E148" s="2">
        <v>201.01</v>
      </c>
      <c r="F148" t="s">
        <v>10</v>
      </c>
      <c r="G148" t="s">
        <v>28</v>
      </c>
      <c r="H148" t="s">
        <v>12</v>
      </c>
      <c r="I148" t="s">
        <v>29</v>
      </c>
      <c r="J148" s="2">
        <f>Table1[[#This Row],[Quantity]]*Table1[[#This Row],[Price]]</f>
        <v>2000.0494999999999</v>
      </c>
    </row>
    <row r="149" spans="1:10" x14ac:dyDescent="0.35">
      <c r="A149">
        <v>10607</v>
      </c>
      <c r="B149" s="1">
        <v>44903</v>
      </c>
      <c r="C149" t="s">
        <v>9</v>
      </c>
      <c r="D149" s="2">
        <v>3.49</v>
      </c>
      <c r="E149" s="2">
        <v>630.37</v>
      </c>
      <c r="F149" t="s">
        <v>10</v>
      </c>
      <c r="G149" t="s">
        <v>28</v>
      </c>
      <c r="H149" t="s">
        <v>12</v>
      </c>
      <c r="I149" t="s">
        <v>29</v>
      </c>
      <c r="J149" s="2">
        <f>Table1[[#This Row],[Quantity]]*Table1[[#This Row],[Price]]</f>
        <v>2199.9913000000001</v>
      </c>
    </row>
    <row r="150" spans="1:10" x14ac:dyDescent="0.35">
      <c r="A150">
        <v>10608</v>
      </c>
      <c r="B150" s="1">
        <v>44903</v>
      </c>
      <c r="C150" t="s">
        <v>13</v>
      </c>
      <c r="D150" s="2">
        <v>2.95</v>
      </c>
      <c r="E150" s="2">
        <v>677.97</v>
      </c>
      <c r="F150" t="s">
        <v>10</v>
      </c>
      <c r="G150" t="s">
        <v>11</v>
      </c>
      <c r="H150" t="s">
        <v>12</v>
      </c>
      <c r="I150" t="s">
        <v>29</v>
      </c>
      <c r="J150" s="2">
        <f>Table1[[#This Row],[Quantity]]*Table1[[#This Row],[Price]]</f>
        <v>2000.0115000000003</v>
      </c>
    </row>
    <row r="151" spans="1:10" x14ac:dyDescent="0.35">
      <c r="A151">
        <v>10609</v>
      </c>
      <c r="B151" s="1">
        <v>44903</v>
      </c>
      <c r="C151" t="s">
        <v>15</v>
      </c>
      <c r="D151" s="2">
        <v>4.99</v>
      </c>
      <c r="E151" s="2">
        <v>200.4</v>
      </c>
      <c r="F151" t="s">
        <v>10</v>
      </c>
      <c r="G151" t="s">
        <v>11</v>
      </c>
      <c r="H151" t="s">
        <v>12</v>
      </c>
      <c r="I151" t="s">
        <v>29</v>
      </c>
      <c r="J151" s="2">
        <f>Table1[[#This Row],[Quantity]]*Table1[[#This Row],[Price]]</f>
        <v>999.99600000000009</v>
      </c>
    </row>
    <row r="152" spans="1:10" x14ac:dyDescent="0.35">
      <c r="A152">
        <v>10610</v>
      </c>
      <c r="B152" s="1">
        <v>44904</v>
      </c>
      <c r="C152" t="s">
        <v>18</v>
      </c>
      <c r="D152" s="2">
        <v>12.99</v>
      </c>
      <c r="E152" s="2">
        <v>569.66999999999996</v>
      </c>
      <c r="F152" t="s">
        <v>10</v>
      </c>
      <c r="G152" t="s">
        <v>11</v>
      </c>
      <c r="H152" t="s">
        <v>12</v>
      </c>
      <c r="I152" t="s">
        <v>29</v>
      </c>
      <c r="J152" s="2">
        <f>Table1[[#This Row],[Quantity]]*Table1[[#This Row],[Price]]</f>
        <v>7400.0132999999996</v>
      </c>
    </row>
    <row r="153" spans="1:10" x14ac:dyDescent="0.35">
      <c r="A153">
        <v>10611</v>
      </c>
      <c r="B153" s="1">
        <v>44904</v>
      </c>
      <c r="C153" t="s">
        <v>22</v>
      </c>
      <c r="D153" s="2">
        <v>9.9499999999999993</v>
      </c>
      <c r="E153" s="2">
        <v>201.01</v>
      </c>
      <c r="F153" t="s">
        <v>10</v>
      </c>
      <c r="G153" t="s">
        <v>11</v>
      </c>
      <c r="H153" t="s">
        <v>12</v>
      </c>
      <c r="I153" t="s">
        <v>29</v>
      </c>
      <c r="J153" s="2">
        <f>Table1[[#This Row],[Quantity]]*Table1[[#This Row],[Price]]</f>
        <v>2000.0494999999999</v>
      </c>
    </row>
    <row r="154" spans="1:10" x14ac:dyDescent="0.35">
      <c r="A154">
        <v>10612</v>
      </c>
      <c r="B154" s="1">
        <v>44904</v>
      </c>
      <c r="C154" t="s">
        <v>9</v>
      </c>
      <c r="D154" s="2">
        <v>3.49</v>
      </c>
      <c r="E154" s="2">
        <v>630.37</v>
      </c>
      <c r="F154" t="s">
        <v>10</v>
      </c>
      <c r="G154" t="s">
        <v>11</v>
      </c>
      <c r="H154" t="s">
        <v>12</v>
      </c>
      <c r="I154" t="s">
        <v>29</v>
      </c>
      <c r="J154" s="2">
        <f>Table1[[#This Row],[Quantity]]*Table1[[#This Row],[Price]]</f>
        <v>2199.9913000000001</v>
      </c>
    </row>
    <row r="155" spans="1:10" x14ac:dyDescent="0.35">
      <c r="A155">
        <v>10613</v>
      </c>
      <c r="B155" s="1">
        <v>44904</v>
      </c>
      <c r="C155" t="s">
        <v>13</v>
      </c>
      <c r="D155" s="2">
        <v>2.95</v>
      </c>
      <c r="E155" s="2">
        <v>677.97</v>
      </c>
      <c r="F155" t="s">
        <v>10</v>
      </c>
      <c r="G155" t="s">
        <v>11</v>
      </c>
      <c r="H155" t="s">
        <v>12</v>
      </c>
      <c r="I155" t="s">
        <v>29</v>
      </c>
      <c r="J155" s="2">
        <f>Table1[[#This Row],[Quantity]]*Table1[[#This Row],[Price]]</f>
        <v>2000.0115000000003</v>
      </c>
    </row>
    <row r="156" spans="1:10" x14ac:dyDescent="0.35">
      <c r="A156">
        <v>10614</v>
      </c>
      <c r="B156" s="1">
        <v>44904</v>
      </c>
      <c r="C156" t="s">
        <v>15</v>
      </c>
      <c r="D156" s="2">
        <v>4.99</v>
      </c>
      <c r="E156" s="2">
        <v>200.4</v>
      </c>
      <c r="F156" t="s">
        <v>10</v>
      </c>
      <c r="G156" t="s">
        <v>11</v>
      </c>
      <c r="H156" t="s">
        <v>12</v>
      </c>
      <c r="I156" t="s">
        <v>29</v>
      </c>
      <c r="J156" s="2">
        <f>Table1[[#This Row],[Quantity]]*Table1[[#This Row],[Price]]</f>
        <v>999.99600000000009</v>
      </c>
    </row>
    <row r="157" spans="1:10" x14ac:dyDescent="0.35">
      <c r="A157">
        <v>10615</v>
      </c>
      <c r="B157" s="1">
        <v>44905</v>
      </c>
      <c r="C157" t="s">
        <v>18</v>
      </c>
      <c r="D157" s="2">
        <v>12.99</v>
      </c>
      <c r="E157" s="2">
        <v>569.66999999999996</v>
      </c>
      <c r="F157" t="s">
        <v>10</v>
      </c>
      <c r="G157" t="s">
        <v>11</v>
      </c>
      <c r="H157" t="s">
        <v>12</v>
      </c>
      <c r="I157" t="s">
        <v>29</v>
      </c>
      <c r="J157" s="2">
        <f>Table1[[#This Row],[Quantity]]*Table1[[#This Row],[Price]]</f>
        <v>7400.0132999999996</v>
      </c>
    </row>
    <row r="158" spans="1:10" x14ac:dyDescent="0.35">
      <c r="A158">
        <v>10616</v>
      </c>
      <c r="B158" s="1">
        <v>44905</v>
      </c>
      <c r="C158" t="s">
        <v>22</v>
      </c>
      <c r="D158" s="2">
        <v>9.9499999999999993</v>
      </c>
      <c r="E158" s="2">
        <v>201.01</v>
      </c>
      <c r="F158" t="s">
        <v>10</v>
      </c>
      <c r="G158" t="s">
        <v>11</v>
      </c>
      <c r="H158" t="s">
        <v>12</v>
      </c>
      <c r="I158" t="s">
        <v>29</v>
      </c>
      <c r="J158" s="2">
        <f>Table1[[#This Row],[Quantity]]*Table1[[#This Row],[Price]]</f>
        <v>2000.0494999999999</v>
      </c>
    </row>
    <row r="159" spans="1:10" x14ac:dyDescent="0.35">
      <c r="A159">
        <v>10617</v>
      </c>
      <c r="B159" s="1">
        <v>44905</v>
      </c>
      <c r="C159" t="s">
        <v>9</v>
      </c>
      <c r="D159" s="2">
        <v>3.49</v>
      </c>
      <c r="E159" s="2">
        <v>630.37</v>
      </c>
      <c r="F159" t="s">
        <v>10</v>
      </c>
      <c r="G159" t="s">
        <v>11</v>
      </c>
      <c r="H159" t="s">
        <v>12</v>
      </c>
      <c r="I159" t="s">
        <v>29</v>
      </c>
      <c r="J159" s="2">
        <f>Table1[[#This Row],[Quantity]]*Table1[[#This Row],[Price]]</f>
        <v>2199.9913000000001</v>
      </c>
    </row>
    <row r="160" spans="1:10" x14ac:dyDescent="0.35">
      <c r="A160">
        <v>10618</v>
      </c>
      <c r="B160" s="1">
        <v>44905</v>
      </c>
      <c r="C160" t="s">
        <v>13</v>
      </c>
      <c r="D160" s="2">
        <v>2.95</v>
      </c>
      <c r="E160" s="2">
        <v>677.97</v>
      </c>
      <c r="F160" t="s">
        <v>10</v>
      </c>
      <c r="G160" t="s">
        <v>11</v>
      </c>
      <c r="H160" t="s">
        <v>12</v>
      </c>
      <c r="I160" t="s">
        <v>29</v>
      </c>
      <c r="J160" s="2">
        <f>Table1[[#This Row],[Quantity]]*Table1[[#This Row],[Price]]</f>
        <v>2000.0115000000003</v>
      </c>
    </row>
    <row r="161" spans="1:10" x14ac:dyDescent="0.35">
      <c r="A161">
        <v>10619</v>
      </c>
      <c r="B161" s="1">
        <v>44905</v>
      </c>
      <c r="C161" t="s">
        <v>15</v>
      </c>
      <c r="D161" s="2">
        <v>4.99</v>
      </c>
      <c r="E161" s="2">
        <v>200.4</v>
      </c>
      <c r="F161" t="s">
        <v>10</v>
      </c>
      <c r="G161" t="s">
        <v>11</v>
      </c>
      <c r="H161" t="s">
        <v>12</v>
      </c>
      <c r="I161" t="s">
        <v>29</v>
      </c>
      <c r="J161" s="2">
        <f>Table1[[#This Row],[Quantity]]*Table1[[#This Row],[Price]]</f>
        <v>999.99600000000009</v>
      </c>
    </row>
    <row r="162" spans="1:10" x14ac:dyDescent="0.35">
      <c r="A162">
        <v>10620</v>
      </c>
      <c r="B162" s="1">
        <v>44906</v>
      </c>
      <c r="C162" t="s">
        <v>18</v>
      </c>
      <c r="D162" s="2">
        <v>12.99</v>
      </c>
      <c r="E162" s="2">
        <v>585.07000000000005</v>
      </c>
      <c r="F162" t="s">
        <v>10</v>
      </c>
      <c r="G162" t="s">
        <v>11</v>
      </c>
      <c r="H162" t="s">
        <v>12</v>
      </c>
      <c r="I162" t="s">
        <v>29</v>
      </c>
      <c r="J162" s="2">
        <f>Table1[[#This Row],[Quantity]]*Table1[[#This Row],[Price]]</f>
        <v>7600.0593000000008</v>
      </c>
    </row>
    <row r="163" spans="1:10" x14ac:dyDescent="0.35">
      <c r="A163">
        <v>10621</v>
      </c>
      <c r="B163" s="1">
        <v>44906</v>
      </c>
      <c r="C163" t="s">
        <v>22</v>
      </c>
      <c r="D163" s="2">
        <v>9.9499999999999993</v>
      </c>
      <c r="E163" s="2">
        <v>201.01</v>
      </c>
      <c r="F163" t="s">
        <v>10</v>
      </c>
      <c r="G163" t="s">
        <v>11</v>
      </c>
      <c r="H163" t="s">
        <v>12</v>
      </c>
      <c r="I163" t="s">
        <v>29</v>
      </c>
      <c r="J163" s="2">
        <f>Table1[[#This Row],[Quantity]]*Table1[[#This Row],[Price]]</f>
        <v>2000.0494999999999</v>
      </c>
    </row>
    <row r="164" spans="1:10" x14ac:dyDescent="0.35">
      <c r="A164">
        <v>10622</v>
      </c>
      <c r="B164" s="1">
        <v>44906</v>
      </c>
      <c r="C164" t="s">
        <v>9</v>
      </c>
      <c r="D164" s="2">
        <v>3.49</v>
      </c>
      <c r="E164" s="2">
        <v>630.37</v>
      </c>
      <c r="F164" t="s">
        <v>10</v>
      </c>
      <c r="G164" t="s">
        <v>11</v>
      </c>
      <c r="H164" t="s">
        <v>12</v>
      </c>
      <c r="I164" t="s">
        <v>29</v>
      </c>
      <c r="J164" s="2">
        <f>Table1[[#This Row],[Quantity]]*Table1[[#This Row],[Price]]</f>
        <v>2199.9913000000001</v>
      </c>
    </row>
    <row r="165" spans="1:10" x14ac:dyDescent="0.35">
      <c r="A165">
        <v>10623</v>
      </c>
      <c r="B165" s="1">
        <v>44906</v>
      </c>
      <c r="C165" t="s">
        <v>13</v>
      </c>
      <c r="D165" s="2">
        <v>2.95</v>
      </c>
      <c r="E165" s="2">
        <v>745.76</v>
      </c>
      <c r="F165" t="s">
        <v>10</v>
      </c>
      <c r="G165" t="s">
        <v>11</v>
      </c>
      <c r="H165" t="s">
        <v>12</v>
      </c>
      <c r="I165" t="s">
        <v>29</v>
      </c>
      <c r="J165" s="2">
        <f>Table1[[#This Row],[Quantity]]*Table1[[#This Row],[Price]]</f>
        <v>2199.9920000000002</v>
      </c>
    </row>
    <row r="166" spans="1:10" x14ac:dyDescent="0.35">
      <c r="A166">
        <v>10624</v>
      </c>
      <c r="B166" s="1">
        <v>44906</v>
      </c>
      <c r="C166" t="s">
        <v>15</v>
      </c>
      <c r="D166" s="2">
        <v>4.99</v>
      </c>
      <c r="E166" s="2">
        <v>200.4</v>
      </c>
      <c r="F166" t="s">
        <v>10</v>
      </c>
      <c r="G166" t="s">
        <v>11</v>
      </c>
      <c r="H166" t="s">
        <v>12</v>
      </c>
      <c r="I166" t="s">
        <v>29</v>
      </c>
      <c r="J166" s="2">
        <f>Table1[[#This Row],[Quantity]]*Table1[[#This Row],[Price]]</f>
        <v>999.99600000000009</v>
      </c>
    </row>
    <row r="167" spans="1:10" x14ac:dyDescent="0.35">
      <c r="A167">
        <v>10625</v>
      </c>
      <c r="B167" s="1">
        <v>44907</v>
      </c>
      <c r="C167" t="s">
        <v>18</v>
      </c>
      <c r="D167" s="2">
        <v>12.99</v>
      </c>
      <c r="E167" s="2">
        <v>569.66999999999996</v>
      </c>
      <c r="F167" t="s">
        <v>10</v>
      </c>
      <c r="G167" t="s">
        <v>11</v>
      </c>
      <c r="H167" t="s">
        <v>12</v>
      </c>
      <c r="I167" t="s">
        <v>29</v>
      </c>
      <c r="J167" s="2">
        <f>Table1[[#This Row],[Quantity]]*Table1[[#This Row],[Price]]</f>
        <v>7400.0132999999996</v>
      </c>
    </row>
    <row r="168" spans="1:10" x14ac:dyDescent="0.35">
      <c r="A168">
        <v>10626</v>
      </c>
      <c r="B168" s="1">
        <v>44907</v>
      </c>
      <c r="C168" t="s">
        <v>22</v>
      </c>
      <c r="D168" s="2">
        <v>9.9499999999999993</v>
      </c>
      <c r="E168" s="2">
        <v>201.01</v>
      </c>
      <c r="F168" t="s">
        <v>10</v>
      </c>
      <c r="G168" t="s">
        <v>11</v>
      </c>
      <c r="H168" t="s">
        <v>12</v>
      </c>
      <c r="I168" t="s">
        <v>29</v>
      </c>
      <c r="J168" s="2">
        <f>Table1[[#This Row],[Quantity]]*Table1[[#This Row],[Price]]</f>
        <v>2000.0494999999999</v>
      </c>
    </row>
    <row r="169" spans="1:10" x14ac:dyDescent="0.35">
      <c r="A169">
        <v>10627</v>
      </c>
      <c r="B169" s="1">
        <v>44907</v>
      </c>
      <c r="C169" t="s">
        <v>9</v>
      </c>
      <c r="D169" s="2">
        <v>3.49</v>
      </c>
      <c r="E169" s="2">
        <v>630.37</v>
      </c>
      <c r="F169" t="s">
        <v>10</v>
      </c>
      <c r="G169" t="s">
        <v>11</v>
      </c>
      <c r="H169" t="s">
        <v>12</v>
      </c>
      <c r="I169" t="s">
        <v>29</v>
      </c>
      <c r="J169" s="2">
        <f>Table1[[#This Row],[Quantity]]*Table1[[#This Row],[Price]]</f>
        <v>2199.9913000000001</v>
      </c>
    </row>
    <row r="170" spans="1:10" x14ac:dyDescent="0.35">
      <c r="A170">
        <v>10628</v>
      </c>
      <c r="B170" s="1">
        <v>44907</v>
      </c>
      <c r="C170" t="s">
        <v>13</v>
      </c>
      <c r="D170" s="2">
        <v>2.95</v>
      </c>
      <c r="E170" s="2">
        <v>677.97</v>
      </c>
      <c r="F170" t="s">
        <v>10</v>
      </c>
      <c r="G170" t="s">
        <v>11</v>
      </c>
      <c r="H170" t="s">
        <v>17</v>
      </c>
      <c r="I170" t="s">
        <v>26</v>
      </c>
      <c r="J170" s="2">
        <f>Table1[[#This Row],[Quantity]]*Table1[[#This Row],[Price]]</f>
        <v>2000.0115000000003</v>
      </c>
    </row>
    <row r="171" spans="1:10" x14ac:dyDescent="0.35">
      <c r="A171">
        <v>10629</v>
      </c>
      <c r="B171" s="1">
        <v>44907</v>
      </c>
      <c r="C171" t="s">
        <v>15</v>
      </c>
      <c r="D171" s="2">
        <v>4.99</v>
      </c>
      <c r="E171" s="2">
        <v>200.4</v>
      </c>
      <c r="F171" t="s">
        <v>10</v>
      </c>
      <c r="G171" t="s">
        <v>11</v>
      </c>
      <c r="H171" t="s">
        <v>17</v>
      </c>
      <c r="I171" t="s">
        <v>26</v>
      </c>
      <c r="J171" s="2">
        <f>Table1[[#This Row],[Quantity]]*Table1[[#This Row],[Price]]</f>
        <v>999.99600000000009</v>
      </c>
    </row>
    <row r="172" spans="1:10" x14ac:dyDescent="0.35">
      <c r="A172">
        <v>10630</v>
      </c>
      <c r="B172" s="1">
        <v>44908</v>
      </c>
      <c r="C172" t="s">
        <v>18</v>
      </c>
      <c r="D172" s="2">
        <v>12.99</v>
      </c>
      <c r="E172" s="2">
        <v>569.66999999999996</v>
      </c>
      <c r="F172" t="s">
        <v>10</v>
      </c>
      <c r="G172" t="s">
        <v>28</v>
      </c>
      <c r="H172" t="s">
        <v>17</v>
      </c>
      <c r="I172" t="s">
        <v>26</v>
      </c>
      <c r="J172" s="2">
        <f>Table1[[#This Row],[Quantity]]*Table1[[#This Row],[Price]]</f>
        <v>7400.0132999999996</v>
      </c>
    </row>
    <row r="173" spans="1:10" x14ac:dyDescent="0.35">
      <c r="A173">
        <v>10631</v>
      </c>
      <c r="B173" s="1">
        <v>44908</v>
      </c>
      <c r="C173" t="s">
        <v>22</v>
      </c>
      <c r="D173" s="2">
        <v>9.9499999999999993</v>
      </c>
      <c r="E173" s="2">
        <v>201.01</v>
      </c>
      <c r="F173" t="s">
        <v>10</v>
      </c>
      <c r="G173" t="s">
        <v>11</v>
      </c>
      <c r="H173" t="s">
        <v>17</v>
      </c>
      <c r="I173" t="s">
        <v>26</v>
      </c>
      <c r="J173" s="2">
        <f>Table1[[#This Row],[Quantity]]*Table1[[#This Row],[Price]]</f>
        <v>2000.0494999999999</v>
      </c>
    </row>
    <row r="174" spans="1:10" x14ac:dyDescent="0.35">
      <c r="A174">
        <v>10632</v>
      </c>
      <c r="B174" s="1">
        <v>44908</v>
      </c>
      <c r="C174" t="s">
        <v>9</v>
      </c>
      <c r="D174" s="2">
        <v>3.49</v>
      </c>
      <c r="E174" s="2">
        <v>630.37</v>
      </c>
      <c r="F174" t="s">
        <v>10</v>
      </c>
      <c r="G174" t="s">
        <v>11</v>
      </c>
      <c r="H174" t="s">
        <v>17</v>
      </c>
      <c r="I174" t="s">
        <v>26</v>
      </c>
      <c r="J174" s="2">
        <f>Table1[[#This Row],[Quantity]]*Table1[[#This Row],[Price]]</f>
        <v>2199.9913000000001</v>
      </c>
    </row>
    <row r="175" spans="1:10" x14ac:dyDescent="0.35">
      <c r="A175">
        <v>10633</v>
      </c>
      <c r="B175" s="1">
        <v>44908</v>
      </c>
      <c r="C175" t="s">
        <v>13</v>
      </c>
      <c r="D175" s="2">
        <v>2.95</v>
      </c>
      <c r="E175" s="2">
        <v>677.97</v>
      </c>
      <c r="F175" t="s">
        <v>10</v>
      </c>
      <c r="G175" t="s">
        <v>11</v>
      </c>
      <c r="H175" t="s">
        <v>17</v>
      </c>
      <c r="I175" t="s">
        <v>26</v>
      </c>
      <c r="J175" s="2">
        <f>Table1[[#This Row],[Quantity]]*Table1[[#This Row],[Price]]</f>
        <v>2000.0115000000003</v>
      </c>
    </row>
    <row r="176" spans="1:10" x14ac:dyDescent="0.35">
      <c r="A176">
        <v>10634</v>
      </c>
      <c r="B176" s="1">
        <v>44908</v>
      </c>
      <c r="C176" t="s">
        <v>15</v>
      </c>
      <c r="D176" s="2">
        <v>4.99</v>
      </c>
      <c r="E176" s="2">
        <v>200.4</v>
      </c>
      <c r="F176" t="s">
        <v>10</v>
      </c>
      <c r="G176" t="s">
        <v>11</v>
      </c>
      <c r="H176" t="s">
        <v>17</v>
      </c>
      <c r="I176" t="s">
        <v>26</v>
      </c>
      <c r="J176" s="2">
        <f>Table1[[#This Row],[Quantity]]*Table1[[#This Row],[Price]]</f>
        <v>999.99600000000009</v>
      </c>
    </row>
    <row r="177" spans="1:10" x14ac:dyDescent="0.35">
      <c r="A177">
        <v>10635</v>
      </c>
      <c r="B177" s="1">
        <v>44909</v>
      </c>
      <c r="C177" t="s">
        <v>18</v>
      </c>
      <c r="D177" s="2">
        <v>12.99</v>
      </c>
      <c r="E177" s="2">
        <v>554.27</v>
      </c>
      <c r="F177" t="s">
        <v>10</v>
      </c>
      <c r="G177" t="s">
        <v>11</v>
      </c>
      <c r="H177" t="s">
        <v>17</v>
      </c>
      <c r="I177" t="s">
        <v>26</v>
      </c>
      <c r="J177" s="2">
        <f>Table1[[#This Row],[Quantity]]*Table1[[#This Row],[Price]]</f>
        <v>7199.9673000000003</v>
      </c>
    </row>
    <row r="178" spans="1:10" x14ac:dyDescent="0.35">
      <c r="A178">
        <v>10636</v>
      </c>
      <c r="B178" s="1">
        <v>44909</v>
      </c>
      <c r="C178" t="s">
        <v>22</v>
      </c>
      <c r="D178" s="2">
        <v>9.9499999999999993</v>
      </c>
      <c r="E178" s="2">
        <v>221.11</v>
      </c>
      <c r="F178" t="s">
        <v>10</v>
      </c>
      <c r="G178" t="s">
        <v>11</v>
      </c>
      <c r="H178" t="s">
        <v>17</v>
      </c>
      <c r="I178" t="s">
        <v>26</v>
      </c>
      <c r="J178" s="2">
        <f>Table1[[#This Row],[Quantity]]*Table1[[#This Row],[Price]]</f>
        <v>2200.0445</v>
      </c>
    </row>
    <row r="179" spans="1:10" x14ac:dyDescent="0.35">
      <c r="A179">
        <v>10637</v>
      </c>
      <c r="B179" s="1">
        <v>44909</v>
      </c>
      <c r="C179" t="s">
        <v>9</v>
      </c>
      <c r="D179" s="2">
        <v>3.49</v>
      </c>
      <c r="E179" s="2">
        <v>630.37</v>
      </c>
      <c r="F179" t="s">
        <v>10</v>
      </c>
      <c r="G179" t="s">
        <v>11</v>
      </c>
      <c r="H179" t="s">
        <v>17</v>
      </c>
      <c r="I179" t="s">
        <v>26</v>
      </c>
      <c r="J179" s="2">
        <f>Table1[[#This Row],[Quantity]]*Table1[[#This Row],[Price]]</f>
        <v>2199.9913000000001</v>
      </c>
    </row>
    <row r="180" spans="1:10" x14ac:dyDescent="0.35">
      <c r="A180">
        <v>10638</v>
      </c>
      <c r="B180" s="1">
        <v>44909</v>
      </c>
      <c r="C180" t="s">
        <v>13</v>
      </c>
      <c r="D180" s="2">
        <v>2.95</v>
      </c>
      <c r="E180" s="2">
        <v>677.97</v>
      </c>
      <c r="F180" t="s">
        <v>10</v>
      </c>
      <c r="G180" t="s">
        <v>11</v>
      </c>
      <c r="H180" t="s">
        <v>17</v>
      </c>
      <c r="I180" t="s">
        <v>26</v>
      </c>
      <c r="J180" s="2">
        <f>Table1[[#This Row],[Quantity]]*Table1[[#This Row],[Price]]</f>
        <v>2000.0115000000003</v>
      </c>
    </row>
    <row r="181" spans="1:10" x14ac:dyDescent="0.35">
      <c r="A181">
        <v>10639</v>
      </c>
      <c r="B181" s="1">
        <v>44909</v>
      </c>
      <c r="C181" t="s">
        <v>15</v>
      </c>
      <c r="D181" s="2">
        <v>4.99</v>
      </c>
      <c r="E181" s="2">
        <v>200.4</v>
      </c>
      <c r="F181" t="s">
        <v>10</v>
      </c>
      <c r="G181" t="s">
        <v>11</v>
      </c>
      <c r="H181" t="s">
        <v>17</v>
      </c>
      <c r="I181" t="s">
        <v>26</v>
      </c>
      <c r="J181" s="2">
        <f>Table1[[#This Row],[Quantity]]*Table1[[#This Row],[Price]]</f>
        <v>999.99600000000009</v>
      </c>
    </row>
    <row r="182" spans="1:10" x14ac:dyDescent="0.35">
      <c r="A182">
        <v>10640</v>
      </c>
      <c r="B182" s="1">
        <v>44910</v>
      </c>
      <c r="C182" t="s">
        <v>18</v>
      </c>
      <c r="D182" s="2">
        <v>12.99</v>
      </c>
      <c r="E182" s="2">
        <v>538.88</v>
      </c>
      <c r="F182" t="s">
        <v>10</v>
      </c>
      <c r="G182" t="s">
        <v>11</v>
      </c>
      <c r="H182" t="s">
        <v>17</v>
      </c>
      <c r="I182" t="s">
        <v>26</v>
      </c>
      <c r="J182" s="2">
        <f>Table1[[#This Row],[Quantity]]*Table1[[#This Row],[Price]]</f>
        <v>7000.0511999999999</v>
      </c>
    </row>
    <row r="183" spans="1:10" x14ac:dyDescent="0.35">
      <c r="A183">
        <v>10641</v>
      </c>
      <c r="B183" s="1">
        <v>44910</v>
      </c>
      <c r="C183" t="s">
        <v>22</v>
      </c>
      <c r="D183" s="2">
        <v>9.9499999999999993</v>
      </c>
      <c r="E183" s="2">
        <v>221.11</v>
      </c>
      <c r="F183" t="s">
        <v>10</v>
      </c>
      <c r="G183" t="s">
        <v>11</v>
      </c>
      <c r="H183" t="s">
        <v>17</v>
      </c>
      <c r="I183" t="s">
        <v>26</v>
      </c>
      <c r="J183" s="2">
        <f>Table1[[#This Row],[Quantity]]*Table1[[#This Row],[Price]]</f>
        <v>2200.0445</v>
      </c>
    </row>
    <row r="184" spans="1:10" x14ac:dyDescent="0.35">
      <c r="A184">
        <v>10642</v>
      </c>
      <c r="B184" s="1">
        <v>44910</v>
      </c>
      <c r="C184" t="s">
        <v>9</v>
      </c>
      <c r="D184" s="2">
        <v>3.49</v>
      </c>
      <c r="E184" s="2">
        <v>630.37</v>
      </c>
      <c r="F184" t="s">
        <v>10</v>
      </c>
      <c r="G184" t="s">
        <v>28</v>
      </c>
      <c r="H184" t="s">
        <v>17</v>
      </c>
      <c r="I184" t="s">
        <v>26</v>
      </c>
      <c r="J184" s="2">
        <f>Table1[[#This Row],[Quantity]]*Table1[[#This Row],[Price]]</f>
        <v>2199.9913000000001</v>
      </c>
    </row>
    <row r="185" spans="1:10" x14ac:dyDescent="0.35">
      <c r="A185">
        <v>10643</v>
      </c>
      <c r="B185" s="1">
        <v>44910</v>
      </c>
      <c r="C185" t="s">
        <v>13</v>
      </c>
      <c r="D185" s="2">
        <v>2.95</v>
      </c>
      <c r="E185" s="2">
        <v>677.97</v>
      </c>
      <c r="F185" t="s">
        <v>10</v>
      </c>
      <c r="G185" t="s">
        <v>28</v>
      </c>
      <c r="H185" t="s">
        <v>17</v>
      </c>
      <c r="I185" t="s">
        <v>26</v>
      </c>
      <c r="J185" s="2">
        <f>Table1[[#This Row],[Quantity]]*Table1[[#This Row],[Price]]</f>
        <v>2000.0115000000003</v>
      </c>
    </row>
    <row r="186" spans="1:10" x14ac:dyDescent="0.35">
      <c r="A186">
        <v>10644</v>
      </c>
      <c r="B186" s="1">
        <v>44910</v>
      </c>
      <c r="C186" t="s">
        <v>15</v>
      </c>
      <c r="D186" s="2">
        <v>4.99</v>
      </c>
      <c r="E186" s="2">
        <v>200.4</v>
      </c>
      <c r="F186" t="s">
        <v>10</v>
      </c>
      <c r="G186" t="s">
        <v>28</v>
      </c>
      <c r="H186" t="s">
        <v>17</v>
      </c>
      <c r="I186" t="s">
        <v>26</v>
      </c>
      <c r="J186" s="2">
        <f>Table1[[#This Row],[Quantity]]*Table1[[#This Row],[Price]]</f>
        <v>999.99600000000009</v>
      </c>
    </row>
    <row r="187" spans="1:10" x14ac:dyDescent="0.35">
      <c r="A187">
        <v>10645</v>
      </c>
      <c r="B187" s="1">
        <v>44911</v>
      </c>
      <c r="C187" t="s">
        <v>18</v>
      </c>
      <c r="D187" s="2">
        <v>12.99</v>
      </c>
      <c r="E187" s="2">
        <v>569.66999999999996</v>
      </c>
      <c r="F187" t="s">
        <v>10</v>
      </c>
      <c r="G187" t="s">
        <v>28</v>
      </c>
      <c r="H187" t="s">
        <v>17</v>
      </c>
      <c r="I187" t="s">
        <v>26</v>
      </c>
      <c r="J187" s="2">
        <f>Table1[[#This Row],[Quantity]]*Table1[[#This Row],[Price]]</f>
        <v>7400.0132999999996</v>
      </c>
    </row>
    <row r="188" spans="1:10" x14ac:dyDescent="0.35">
      <c r="A188">
        <v>10646</v>
      </c>
      <c r="B188" s="1">
        <v>44911</v>
      </c>
      <c r="C188" t="s">
        <v>22</v>
      </c>
      <c r="D188" s="2">
        <v>9.9499999999999993</v>
      </c>
      <c r="E188" s="2">
        <v>221.11</v>
      </c>
      <c r="F188" t="s">
        <v>10</v>
      </c>
      <c r="G188" t="s">
        <v>28</v>
      </c>
      <c r="H188" t="s">
        <v>17</v>
      </c>
      <c r="I188" t="s">
        <v>26</v>
      </c>
      <c r="J188" s="2">
        <f>Table1[[#This Row],[Quantity]]*Table1[[#This Row],[Price]]</f>
        <v>2200.0445</v>
      </c>
    </row>
    <row r="189" spans="1:10" x14ac:dyDescent="0.35">
      <c r="A189">
        <v>10647</v>
      </c>
      <c r="B189" s="1">
        <v>44911</v>
      </c>
      <c r="C189" t="s">
        <v>9</v>
      </c>
      <c r="D189" s="2">
        <v>3.49</v>
      </c>
      <c r="E189" s="2">
        <v>630.37</v>
      </c>
      <c r="F189" t="s">
        <v>10</v>
      </c>
      <c r="G189" t="s">
        <v>11</v>
      </c>
      <c r="H189" t="s">
        <v>17</v>
      </c>
      <c r="I189" t="s">
        <v>26</v>
      </c>
      <c r="J189" s="2">
        <f>Table1[[#This Row],[Quantity]]*Table1[[#This Row],[Price]]</f>
        <v>2199.9913000000001</v>
      </c>
    </row>
    <row r="190" spans="1:10" x14ac:dyDescent="0.35">
      <c r="A190">
        <v>10648</v>
      </c>
      <c r="B190" s="1">
        <v>44911</v>
      </c>
      <c r="C190" t="s">
        <v>13</v>
      </c>
      <c r="D190" s="2">
        <v>2.95</v>
      </c>
      <c r="E190" s="2">
        <v>745.76</v>
      </c>
      <c r="F190" t="s">
        <v>10</v>
      </c>
      <c r="G190" t="s">
        <v>11</v>
      </c>
      <c r="H190" t="s">
        <v>17</v>
      </c>
      <c r="I190" t="s">
        <v>26</v>
      </c>
      <c r="J190" s="2">
        <f>Table1[[#This Row],[Quantity]]*Table1[[#This Row],[Price]]</f>
        <v>2199.9920000000002</v>
      </c>
    </row>
    <row r="191" spans="1:10" x14ac:dyDescent="0.35">
      <c r="A191">
        <v>10649</v>
      </c>
      <c r="B191" s="1">
        <v>44911</v>
      </c>
      <c r="C191" t="s">
        <v>15</v>
      </c>
      <c r="D191" s="2">
        <v>4.99</v>
      </c>
      <c r="E191" s="2">
        <v>200.4</v>
      </c>
      <c r="F191" t="s">
        <v>10</v>
      </c>
      <c r="G191" t="s">
        <v>11</v>
      </c>
      <c r="H191" t="s">
        <v>17</v>
      </c>
      <c r="I191" t="s">
        <v>26</v>
      </c>
      <c r="J191" s="2">
        <f>Table1[[#This Row],[Quantity]]*Table1[[#This Row],[Price]]</f>
        <v>999.99600000000009</v>
      </c>
    </row>
    <row r="192" spans="1:10" x14ac:dyDescent="0.35">
      <c r="A192">
        <v>10650</v>
      </c>
      <c r="B192" s="1">
        <v>44912</v>
      </c>
      <c r="C192" t="s">
        <v>18</v>
      </c>
      <c r="D192" s="2">
        <v>12.99</v>
      </c>
      <c r="E192" s="2">
        <v>585.07000000000005</v>
      </c>
      <c r="F192" t="s">
        <v>10</v>
      </c>
      <c r="G192" t="s">
        <v>11</v>
      </c>
      <c r="H192" t="s">
        <v>17</v>
      </c>
      <c r="I192" t="s">
        <v>26</v>
      </c>
      <c r="J192" s="2">
        <f>Table1[[#This Row],[Quantity]]*Table1[[#This Row],[Price]]</f>
        <v>7600.0593000000008</v>
      </c>
    </row>
    <row r="193" spans="1:10" x14ac:dyDescent="0.35">
      <c r="A193">
        <v>10651</v>
      </c>
      <c r="B193" s="1">
        <v>44912</v>
      </c>
      <c r="C193" t="s">
        <v>22</v>
      </c>
      <c r="D193" s="2">
        <v>9.9499999999999993</v>
      </c>
      <c r="E193" s="2">
        <v>221.11</v>
      </c>
      <c r="F193" t="s">
        <v>10</v>
      </c>
      <c r="G193" t="s">
        <v>11</v>
      </c>
      <c r="H193" t="s">
        <v>17</v>
      </c>
      <c r="I193" t="s">
        <v>26</v>
      </c>
      <c r="J193" s="2">
        <f>Table1[[#This Row],[Quantity]]*Table1[[#This Row],[Price]]</f>
        <v>2200.0445</v>
      </c>
    </row>
    <row r="194" spans="1:10" x14ac:dyDescent="0.35">
      <c r="A194">
        <v>10652</v>
      </c>
      <c r="B194" s="1">
        <v>44912</v>
      </c>
      <c r="C194" t="s">
        <v>9</v>
      </c>
      <c r="D194" s="2">
        <v>3.49</v>
      </c>
      <c r="E194" s="2">
        <v>687.68</v>
      </c>
      <c r="F194" t="s">
        <v>10</v>
      </c>
      <c r="G194" t="s">
        <v>11</v>
      </c>
      <c r="H194" t="s">
        <v>17</v>
      </c>
      <c r="I194" t="s">
        <v>26</v>
      </c>
      <c r="J194" s="2">
        <f>Table1[[#This Row],[Quantity]]*Table1[[#This Row],[Price]]</f>
        <v>2400.0032000000001</v>
      </c>
    </row>
    <row r="195" spans="1:10" x14ac:dyDescent="0.35">
      <c r="A195">
        <v>10653</v>
      </c>
      <c r="B195" s="1">
        <v>44912</v>
      </c>
      <c r="C195" t="s">
        <v>13</v>
      </c>
      <c r="D195" s="2">
        <v>2.95</v>
      </c>
      <c r="E195" s="2">
        <v>745.76</v>
      </c>
      <c r="F195" t="s">
        <v>10</v>
      </c>
      <c r="G195" t="s">
        <v>11</v>
      </c>
      <c r="H195" t="s">
        <v>17</v>
      </c>
      <c r="I195" t="s">
        <v>26</v>
      </c>
      <c r="J195" s="2">
        <f>Table1[[#This Row],[Quantity]]*Table1[[#This Row],[Price]]</f>
        <v>2199.9920000000002</v>
      </c>
    </row>
    <row r="196" spans="1:10" x14ac:dyDescent="0.35">
      <c r="A196">
        <v>10654</v>
      </c>
      <c r="B196" s="1">
        <v>44912</v>
      </c>
      <c r="C196" t="s">
        <v>15</v>
      </c>
      <c r="D196" s="2">
        <v>4.99</v>
      </c>
      <c r="E196" s="2">
        <v>200.4</v>
      </c>
      <c r="F196" t="s">
        <v>10</v>
      </c>
      <c r="G196" t="s">
        <v>11</v>
      </c>
      <c r="H196" t="s">
        <v>17</v>
      </c>
      <c r="I196" t="s">
        <v>26</v>
      </c>
      <c r="J196" s="2">
        <f>Table1[[#This Row],[Quantity]]*Table1[[#This Row],[Price]]</f>
        <v>999.99600000000009</v>
      </c>
    </row>
    <row r="197" spans="1:10" x14ac:dyDescent="0.35">
      <c r="A197">
        <v>10655</v>
      </c>
      <c r="B197" s="1">
        <v>44913</v>
      </c>
      <c r="C197" t="s">
        <v>18</v>
      </c>
      <c r="D197" s="2">
        <v>12.99</v>
      </c>
      <c r="E197" s="2">
        <v>600.46</v>
      </c>
      <c r="F197" t="s">
        <v>10</v>
      </c>
      <c r="G197" t="s">
        <v>11</v>
      </c>
      <c r="H197" t="s">
        <v>17</v>
      </c>
      <c r="I197" t="s">
        <v>26</v>
      </c>
      <c r="J197" s="2">
        <f>Table1[[#This Row],[Quantity]]*Table1[[#This Row],[Price]]</f>
        <v>7799.9754000000003</v>
      </c>
    </row>
    <row r="198" spans="1:10" x14ac:dyDescent="0.35">
      <c r="A198">
        <v>10656</v>
      </c>
      <c r="B198" s="1">
        <v>44913</v>
      </c>
      <c r="C198" t="s">
        <v>22</v>
      </c>
      <c r="D198" s="2">
        <v>9.9499999999999993</v>
      </c>
      <c r="E198" s="2">
        <v>221.11</v>
      </c>
      <c r="F198" t="s">
        <v>10</v>
      </c>
      <c r="G198" t="s">
        <v>11</v>
      </c>
      <c r="H198" t="s">
        <v>17</v>
      </c>
      <c r="I198" t="s">
        <v>26</v>
      </c>
      <c r="J198" s="2">
        <f>Table1[[#This Row],[Quantity]]*Table1[[#This Row],[Price]]</f>
        <v>2200.0445</v>
      </c>
    </row>
    <row r="199" spans="1:10" x14ac:dyDescent="0.35">
      <c r="A199">
        <v>10657</v>
      </c>
      <c r="B199" s="1">
        <v>44913</v>
      </c>
      <c r="C199" t="s">
        <v>9</v>
      </c>
      <c r="D199" s="2">
        <v>3.49</v>
      </c>
      <c r="E199" s="2">
        <v>687.68</v>
      </c>
      <c r="F199" t="s">
        <v>10</v>
      </c>
      <c r="G199" t="s">
        <v>11</v>
      </c>
      <c r="H199" t="s">
        <v>17</v>
      </c>
      <c r="I199" t="s">
        <v>26</v>
      </c>
      <c r="J199" s="2">
        <f>Table1[[#This Row],[Quantity]]*Table1[[#This Row],[Price]]</f>
        <v>2400.0032000000001</v>
      </c>
    </row>
    <row r="200" spans="1:10" x14ac:dyDescent="0.35">
      <c r="A200">
        <v>10658</v>
      </c>
      <c r="B200" s="1">
        <v>44913</v>
      </c>
      <c r="C200" t="s">
        <v>13</v>
      </c>
      <c r="D200" s="2">
        <v>2.95</v>
      </c>
      <c r="E200" s="2">
        <v>745.76</v>
      </c>
      <c r="F200" t="s">
        <v>10</v>
      </c>
      <c r="G200" t="s">
        <v>28</v>
      </c>
      <c r="H200" t="s">
        <v>17</v>
      </c>
      <c r="I200" t="s">
        <v>26</v>
      </c>
      <c r="J200" s="2">
        <f>Table1[[#This Row],[Quantity]]*Table1[[#This Row],[Price]]</f>
        <v>2199.9920000000002</v>
      </c>
    </row>
    <row r="201" spans="1:10" x14ac:dyDescent="0.35">
      <c r="A201">
        <v>10659</v>
      </c>
      <c r="B201" s="1">
        <v>44913</v>
      </c>
      <c r="C201" t="s">
        <v>15</v>
      </c>
      <c r="D201" s="2">
        <v>4.99</v>
      </c>
      <c r="E201" s="2">
        <v>200.4</v>
      </c>
      <c r="F201" t="s">
        <v>10</v>
      </c>
      <c r="G201" t="s">
        <v>28</v>
      </c>
      <c r="H201" t="s">
        <v>17</v>
      </c>
      <c r="I201" t="s">
        <v>26</v>
      </c>
      <c r="J201" s="2">
        <f>Table1[[#This Row],[Quantity]]*Table1[[#This Row],[Price]]</f>
        <v>999.99600000000009</v>
      </c>
    </row>
    <row r="202" spans="1:10" x14ac:dyDescent="0.35">
      <c r="A202">
        <v>10660</v>
      </c>
      <c r="B202" s="1">
        <v>44914</v>
      </c>
      <c r="C202" t="s">
        <v>18</v>
      </c>
      <c r="D202" s="2">
        <v>12.99</v>
      </c>
      <c r="E202" s="2">
        <v>631.25</v>
      </c>
      <c r="F202" t="s">
        <v>16</v>
      </c>
      <c r="G202" t="s">
        <v>28</v>
      </c>
      <c r="H202" t="s">
        <v>17</v>
      </c>
      <c r="I202" t="s">
        <v>26</v>
      </c>
      <c r="J202" s="2">
        <f>Table1[[#This Row],[Quantity]]*Table1[[#This Row],[Price]]</f>
        <v>8199.9375</v>
      </c>
    </row>
    <row r="203" spans="1:10" x14ac:dyDescent="0.35">
      <c r="A203">
        <v>10661</v>
      </c>
      <c r="B203" s="1">
        <v>44914</v>
      </c>
      <c r="C203" t="s">
        <v>22</v>
      </c>
      <c r="D203" s="2">
        <v>9.9499999999999993</v>
      </c>
      <c r="E203" s="2">
        <v>221.11</v>
      </c>
      <c r="F203" t="s">
        <v>16</v>
      </c>
      <c r="G203" t="s">
        <v>28</v>
      </c>
      <c r="H203" t="s">
        <v>17</v>
      </c>
      <c r="I203" t="s">
        <v>26</v>
      </c>
      <c r="J203" s="2">
        <f>Table1[[#This Row],[Quantity]]*Table1[[#This Row],[Price]]</f>
        <v>2200.0445</v>
      </c>
    </row>
    <row r="204" spans="1:10" x14ac:dyDescent="0.35">
      <c r="A204">
        <v>10662</v>
      </c>
      <c r="B204" s="1">
        <v>44914</v>
      </c>
      <c r="C204" t="s">
        <v>9</v>
      </c>
      <c r="D204" s="2">
        <v>3.49</v>
      </c>
      <c r="E204" s="2">
        <v>630.37</v>
      </c>
      <c r="F204" t="s">
        <v>16</v>
      </c>
      <c r="G204" t="s">
        <v>28</v>
      </c>
      <c r="H204" t="s">
        <v>17</v>
      </c>
      <c r="I204" t="s">
        <v>26</v>
      </c>
      <c r="J204" s="2">
        <f>Table1[[#This Row],[Quantity]]*Table1[[#This Row],[Price]]</f>
        <v>2199.9913000000001</v>
      </c>
    </row>
    <row r="205" spans="1:10" x14ac:dyDescent="0.35">
      <c r="A205">
        <v>10663</v>
      </c>
      <c r="B205" s="1">
        <v>44914</v>
      </c>
      <c r="C205" t="s">
        <v>13</v>
      </c>
      <c r="D205" s="2">
        <v>2.95</v>
      </c>
      <c r="E205" s="2">
        <v>745.76</v>
      </c>
      <c r="F205" t="s">
        <v>16</v>
      </c>
      <c r="G205" t="s">
        <v>28</v>
      </c>
      <c r="H205" t="s">
        <v>17</v>
      </c>
      <c r="I205" t="s">
        <v>26</v>
      </c>
      <c r="J205" s="2">
        <f>Table1[[#This Row],[Quantity]]*Table1[[#This Row],[Price]]</f>
        <v>2199.9920000000002</v>
      </c>
    </row>
    <row r="206" spans="1:10" x14ac:dyDescent="0.35">
      <c r="A206">
        <v>10664</v>
      </c>
      <c r="B206" s="1">
        <v>44914</v>
      </c>
      <c r="C206" t="s">
        <v>15</v>
      </c>
      <c r="D206" s="2">
        <v>4.99</v>
      </c>
      <c r="E206" s="2">
        <v>200.4</v>
      </c>
      <c r="F206" t="s">
        <v>16</v>
      </c>
      <c r="G206" t="s">
        <v>28</v>
      </c>
      <c r="H206" t="s">
        <v>17</v>
      </c>
      <c r="I206" t="s">
        <v>26</v>
      </c>
      <c r="J206" s="2">
        <f>Table1[[#This Row],[Quantity]]*Table1[[#This Row],[Price]]</f>
        <v>999.99600000000009</v>
      </c>
    </row>
    <row r="207" spans="1:10" x14ac:dyDescent="0.35">
      <c r="A207">
        <v>10665</v>
      </c>
      <c r="B207" s="1">
        <v>44915</v>
      </c>
      <c r="C207" t="s">
        <v>18</v>
      </c>
      <c r="D207" s="2">
        <v>12.99</v>
      </c>
      <c r="E207" s="2">
        <v>646.65</v>
      </c>
      <c r="F207" t="s">
        <v>16</v>
      </c>
      <c r="G207" t="s">
        <v>28</v>
      </c>
      <c r="H207" t="s">
        <v>17</v>
      </c>
      <c r="I207" t="s">
        <v>26</v>
      </c>
      <c r="J207" s="2">
        <f>Table1[[#This Row],[Quantity]]*Table1[[#This Row],[Price]]</f>
        <v>8399.9835000000003</v>
      </c>
    </row>
    <row r="208" spans="1:10" x14ac:dyDescent="0.35">
      <c r="A208">
        <v>10666</v>
      </c>
      <c r="B208" s="1">
        <v>44915</v>
      </c>
      <c r="C208" t="s">
        <v>22</v>
      </c>
      <c r="D208" s="2">
        <v>9.9499999999999993</v>
      </c>
      <c r="E208" s="2">
        <v>221.11</v>
      </c>
      <c r="F208" t="s">
        <v>16</v>
      </c>
      <c r="G208" t="s">
        <v>28</v>
      </c>
      <c r="H208" t="s">
        <v>17</v>
      </c>
      <c r="I208" t="s">
        <v>26</v>
      </c>
      <c r="J208" s="2">
        <f>Table1[[#This Row],[Quantity]]*Table1[[#This Row],[Price]]</f>
        <v>2200.0445</v>
      </c>
    </row>
    <row r="209" spans="1:10" x14ac:dyDescent="0.35">
      <c r="A209">
        <v>10667</v>
      </c>
      <c r="B209" s="1">
        <v>44915</v>
      </c>
      <c r="C209" t="s">
        <v>9</v>
      </c>
      <c r="D209" s="2">
        <v>3.49</v>
      </c>
      <c r="E209" s="2">
        <v>630.37</v>
      </c>
      <c r="F209" t="s">
        <v>16</v>
      </c>
      <c r="G209" t="s">
        <v>28</v>
      </c>
      <c r="H209" t="s">
        <v>17</v>
      </c>
      <c r="I209" t="s">
        <v>26</v>
      </c>
      <c r="J209" s="2">
        <f>Table1[[#This Row],[Quantity]]*Table1[[#This Row],[Price]]</f>
        <v>2199.9913000000001</v>
      </c>
    </row>
    <row r="210" spans="1:10" x14ac:dyDescent="0.35">
      <c r="A210">
        <v>10668</v>
      </c>
      <c r="B210" s="1">
        <v>44915</v>
      </c>
      <c r="C210" t="s">
        <v>13</v>
      </c>
      <c r="D210" s="2">
        <v>2.95</v>
      </c>
      <c r="E210" s="2">
        <v>745.76</v>
      </c>
      <c r="F210" t="s">
        <v>16</v>
      </c>
      <c r="G210" t="s">
        <v>28</v>
      </c>
      <c r="H210" t="s">
        <v>17</v>
      </c>
      <c r="I210" t="s">
        <v>26</v>
      </c>
      <c r="J210" s="2">
        <f>Table1[[#This Row],[Quantity]]*Table1[[#This Row],[Price]]</f>
        <v>2199.9920000000002</v>
      </c>
    </row>
    <row r="211" spans="1:10" x14ac:dyDescent="0.35">
      <c r="A211">
        <v>10669</v>
      </c>
      <c r="B211" s="1">
        <v>44915</v>
      </c>
      <c r="C211" t="s">
        <v>15</v>
      </c>
      <c r="D211" s="2">
        <v>4.99</v>
      </c>
      <c r="E211" s="2">
        <v>200.4</v>
      </c>
      <c r="F211" t="s">
        <v>16</v>
      </c>
      <c r="G211" t="s">
        <v>28</v>
      </c>
      <c r="H211" t="s">
        <v>17</v>
      </c>
      <c r="I211" t="s">
        <v>26</v>
      </c>
      <c r="J211" s="2">
        <f>Table1[[#This Row],[Quantity]]*Table1[[#This Row],[Price]]</f>
        <v>999.99600000000009</v>
      </c>
    </row>
    <row r="212" spans="1:10" x14ac:dyDescent="0.35">
      <c r="A212">
        <v>10670</v>
      </c>
      <c r="B212" s="1">
        <v>44916</v>
      </c>
      <c r="C212" t="s">
        <v>18</v>
      </c>
      <c r="D212" s="2">
        <v>12.99</v>
      </c>
      <c r="E212" s="2">
        <v>677.44</v>
      </c>
      <c r="F212" t="s">
        <v>16</v>
      </c>
      <c r="G212" t="s">
        <v>28</v>
      </c>
      <c r="H212" t="s">
        <v>17</v>
      </c>
      <c r="I212" t="s">
        <v>26</v>
      </c>
      <c r="J212" s="2">
        <f>Table1[[#This Row],[Quantity]]*Table1[[#This Row],[Price]]</f>
        <v>8799.9456000000009</v>
      </c>
    </row>
    <row r="213" spans="1:10" x14ac:dyDescent="0.35">
      <c r="A213">
        <v>10671</v>
      </c>
      <c r="B213" s="1">
        <v>44916</v>
      </c>
      <c r="C213" t="s">
        <v>22</v>
      </c>
      <c r="D213" s="2">
        <v>9.9499999999999993</v>
      </c>
      <c r="E213" s="2">
        <v>221.11</v>
      </c>
      <c r="F213" t="s">
        <v>16</v>
      </c>
      <c r="G213" t="s">
        <v>28</v>
      </c>
      <c r="H213" t="s">
        <v>17</v>
      </c>
      <c r="I213" t="s">
        <v>26</v>
      </c>
      <c r="J213" s="2">
        <f>Table1[[#This Row],[Quantity]]*Table1[[#This Row],[Price]]</f>
        <v>2200.0445</v>
      </c>
    </row>
    <row r="214" spans="1:10" x14ac:dyDescent="0.35">
      <c r="A214">
        <v>10672</v>
      </c>
      <c r="B214" s="1">
        <v>44916</v>
      </c>
      <c r="C214" t="s">
        <v>9</v>
      </c>
      <c r="D214" s="2">
        <v>3.49</v>
      </c>
      <c r="E214" s="2">
        <v>630.37</v>
      </c>
      <c r="F214" t="s">
        <v>16</v>
      </c>
      <c r="G214" t="s">
        <v>28</v>
      </c>
      <c r="H214" t="s">
        <v>17</v>
      </c>
      <c r="I214" t="s">
        <v>26</v>
      </c>
      <c r="J214" s="2">
        <f>Table1[[#This Row],[Quantity]]*Table1[[#This Row],[Price]]</f>
        <v>2199.9913000000001</v>
      </c>
    </row>
    <row r="215" spans="1:10" x14ac:dyDescent="0.35">
      <c r="A215">
        <v>10673</v>
      </c>
      <c r="B215" s="1">
        <v>44916</v>
      </c>
      <c r="C215" t="s">
        <v>13</v>
      </c>
      <c r="D215" s="2">
        <v>2.95</v>
      </c>
      <c r="E215" s="2">
        <v>745.76</v>
      </c>
      <c r="F215" t="s">
        <v>16</v>
      </c>
      <c r="G215" t="s">
        <v>28</v>
      </c>
      <c r="H215" t="s">
        <v>17</v>
      </c>
      <c r="I215" t="s">
        <v>26</v>
      </c>
      <c r="J215" s="2">
        <f>Table1[[#This Row],[Quantity]]*Table1[[#This Row],[Price]]</f>
        <v>2199.9920000000002</v>
      </c>
    </row>
    <row r="216" spans="1:10" x14ac:dyDescent="0.35">
      <c r="A216">
        <v>10674</v>
      </c>
      <c r="B216" s="1">
        <v>44916</v>
      </c>
      <c r="C216" t="s">
        <v>15</v>
      </c>
      <c r="D216" s="2">
        <v>4.99</v>
      </c>
      <c r="E216" s="2">
        <v>200.4</v>
      </c>
      <c r="F216" t="s">
        <v>16</v>
      </c>
      <c r="G216" t="s">
        <v>28</v>
      </c>
      <c r="H216" t="s">
        <v>17</v>
      </c>
      <c r="I216" t="s">
        <v>26</v>
      </c>
      <c r="J216" s="2">
        <f>Table1[[#This Row],[Quantity]]*Table1[[#This Row],[Price]]</f>
        <v>999.99600000000009</v>
      </c>
    </row>
    <row r="217" spans="1:10" x14ac:dyDescent="0.35">
      <c r="A217">
        <v>10675</v>
      </c>
      <c r="B217" s="1">
        <v>44917</v>
      </c>
      <c r="C217" t="s">
        <v>18</v>
      </c>
      <c r="D217" s="2">
        <v>12.99</v>
      </c>
      <c r="E217" s="2">
        <v>677.44</v>
      </c>
      <c r="F217" t="s">
        <v>16</v>
      </c>
      <c r="G217" t="s">
        <v>28</v>
      </c>
      <c r="H217" t="s">
        <v>17</v>
      </c>
      <c r="I217" t="s">
        <v>26</v>
      </c>
      <c r="J217" s="2">
        <f>Table1[[#This Row],[Quantity]]*Table1[[#This Row],[Price]]</f>
        <v>8799.9456000000009</v>
      </c>
    </row>
    <row r="218" spans="1:10" x14ac:dyDescent="0.35">
      <c r="A218">
        <v>10676</v>
      </c>
      <c r="B218" s="1">
        <v>44917</v>
      </c>
      <c r="C218" t="s">
        <v>22</v>
      </c>
      <c r="D218" s="2">
        <v>9.9499999999999993</v>
      </c>
      <c r="E218" s="2">
        <v>241.21</v>
      </c>
      <c r="F218" t="s">
        <v>16</v>
      </c>
      <c r="G218" t="s">
        <v>28</v>
      </c>
      <c r="H218" t="s">
        <v>17</v>
      </c>
      <c r="I218" t="s">
        <v>26</v>
      </c>
      <c r="J218" s="2">
        <f>Table1[[#This Row],[Quantity]]*Table1[[#This Row],[Price]]</f>
        <v>2400.0394999999999</v>
      </c>
    </row>
    <row r="219" spans="1:10" x14ac:dyDescent="0.35">
      <c r="A219">
        <v>10677</v>
      </c>
      <c r="B219" s="1">
        <v>44917</v>
      </c>
      <c r="C219" t="s">
        <v>9</v>
      </c>
      <c r="D219" s="2">
        <v>3.49</v>
      </c>
      <c r="E219" s="2">
        <v>630.37</v>
      </c>
      <c r="F219" t="s">
        <v>16</v>
      </c>
      <c r="G219" t="s">
        <v>28</v>
      </c>
      <c r="H219" t="s">
        <v>17</v>
      </c>
      <c r="I219" t="s">
        <v>26</v>
      </c>
      <c r="J219" s="2">
        <f>Table1[[#This Row],[Quantity]]*Table1[[#This Row],[Price]]</f>
        <v>2199.9913000000001</v>
      </c>
    </row>
    <row r="220" spans="1:10" x14ac:dyDescent="0.35">
      <c r="A220">
        <v>10678</v>
      </c>
      <c r="B220" s="1">
        <v>44917</v>
      </c>
      <c r="C220" t="s">
        <v>13</v>
      </c>
      <c r="D220" s="2">
        <v>2.95</v>
      </c>
      <c r="E220" s="2">
        <v>745.76</v>
      </c>
      <c r="F220" t="s">
        <v>16</v>
      </c>
      <c r="G220" t="s">
        <v>28</v>
      </c>
      <c r="H220" t="s">
        <v>17</v>
      </c>
      <c r="I220" t="s">
        <v>26</v>
      </c>
      <c r="J220" s="2">
        <f>Table1[[#This Row],[Quantity]]*Table1[[#This Row],[Price]]</f>
        <v>2199.9920000000002</v>
      </c>
    </row>
    <row r="221" spans="1:10" x14ac:dyDescent="0.35">
      <c r="A221">
        <v>10679</v>
      </c>
      <c r="B221" s="1">
        <v>44917</v>
      </c>
      <c r="C221" t="s">
        <v>15</v>
      </c>
      <c r="D221" s="2">
        <v>4.99</v>
      </c>
      <c r="E221" s="2">
        <v>200.4</v>
      </c>
      <c r="F221" t="s">
        <v>16</v>
      </c>
      <c r="G221" t="s">
        <v>28</v>
      </c>
      <c r="H221" t="s">
        <v>17</v>
      </c>
      <c r="I221" t="s">
        <v>26</v>
      </c>
      <c r="J221" s="2">
        <f>Table1[[#This Row],[Quantity]]*Table1[[#This Row],[Price]]</f>
        <v>999.99600000000009</v>
      </c>
    </row>
    <row r="222" spans="1:10" x14ac:dyDescent="0.35">
      <c r="A222">
        <v>10680</v>
      </c>
      <c r="B222" s="1">
        <v>44918</v>
      </c>
      <c r="C222" t="s">
        <v>18</v>
      </c>
      <c r="D222" s="2">
        <v>12.99</v>
      </c>
      <c r="E222" s="2">
        <v>646.65</v>
      </c>
      <c r="F222" t="s">
        <v>16</v>
      </c>
      <c r="G222" t="s">
        <v>28</v>
      </c>
      <c r="H222" t="s">
        <v>17</v>
      </c>
      <c r="I222" t="s">
        <v>26</v>
      </c>
      <c r="J222" s="2">
        <f>Table1[[#This Row],[Quantity]]*Table1[[#This Row],[Price]]</f>
        <v>8399.9835000000003</v>
      </c>
    </row>
    <row r="223" spans="1:10" x14ac:dyDescent="0.35">
      <c r="A223">
        <v>10681</v>
      </c>
      <c r="B223" s="1">
        <v>44918</v>
      </c>
      <c r="C223" t="s">
        <v>22</v>
      </c>
      <c r="D223" s="2">
        <v>9.9499999999999993</v>
      </c>
      <c r="E223" s="2">
        <v>241.21</v>
      </c>
      <c r="F223" t="s">
        <v>16</v>
      </c>
      <c r="G223" t="s">
        <v>28</v>
      </c>
      <c r="H223" t="s">
        <v>17</v>
      </c>
      <c r="I223" t="s">
        <v>26</v>
      </c>
      <c r="J223" s="2">
        <f>Table1[[#This Row],[Quantity]]*Table1[[#This Row],[Price]]</f>
        <v>2400.0394999999999</v>
      </c>
    </row>
    <row r="224" spans="1:10" x14ac:dyDescent="0.35">
      <c r="A224">
        <v>10682</v>
      </c>
      <c r="B224" s="1">
        <v>44918</v>
      </c>
      <c r="C224" t="s">
        <v>9</v>
      </c>
      <c r="D224" s="2">
        <v>3.49</v>
      </c>
      <c r="E224" s="2">
        <v>630.37</v>
      </c>
      <c r="F224" t="s">
        <v>16</v>
      </c>
      <c r="G224" t="s">
        <v>28</v>
      </c>
      <c r="H224" t="s">
        <v>17</v>
      </c>
      <c r="I224" t="s">
        <v>26</v>
      </c>
      <c r="J224" s="2">
        <f>Table1[[#This Row],[Quantity]]*Table1[[#This Row],[Price]]</f>
        <v>2199.9913000000001</v>
      </c>
    </row>
    <row r="225" spans="1:10" x14ac:dyDescent="0.35">
      <c r="A225">
        <v>10683</v>
      </c>
      <c r="B225" s="1">
        <v>44918</v>
      </c>
      <c r="C225" t="s">
        <v>13</v>
      </c>
      <c r="D225" s="2">
        <v>2.95</v>
      </c>
      <c r="E225" s="2">
        <v>677.97</v>
      </c>
      <c r="F225" t="s">
        <v>16</v>
      </c>
      <c r="G225" t="s">
        <v>28</v>
      </c>
      <c r="H225" t="s">
        <v>17</v>
      </c>
      <c r="I225" t="s">
        <v>26</v>
      </c>
      <c r="J225" s="2">
        <f>Table1[[#This Row],[Quantity]]*Table1[[#This Row],[Price]]</f>
        <v>2000.0115000000003</v>
      </c>
    </row>
    <row r="226" spans="1:10" x14ac:dyDescent="0.35">
      <c r="A226">
        <v>10684</v>
      </c>
      <c r="B226" s="1">
        <v>44918</v>
      </c>
      <c r="C226" t="s">
        <v>15</v>
      </c>
      <c r="D226" s="2">
        <v>4.99</v>
      </c>
      <c r="E226" s="2">
        <v>200.4</v>
      </c>
      <c r="F226" t="s">
        <v>16</v>
      </c>
      <c r="G226" t="s">
        <v>28</v>
      </c>
      <c r="H226" t="s">
        <v>17</v>
      </c>
      <c r="I226" t="s">
        <v>26</v>
      </c>
      <c r="J226" s="2">
        <f>Table1[[#This Row],[Quantity]]*Table1[[#This Row],[Price]]</f>
        <v>999.99600000000009</v>
      </c>
    </row>
    <row r="227" spans="1:10" x14ac:dyDescent="0.35">
      <c r="A227">
        <v>10685</v>
      </c>
      <c r="B227" s="1">
        <v>44919</v>
      </c>
      <c r="C227" t="s">
        <v>18</v>
      </c>
      <c r="D227" s="2">
        <v>12.99</v>
      </c>
      <c r="E227" s="2">
        <v>677.44</v>
      </c>
      <c r="F227" t="s">
        <v>16</v>
      </c>
      <c r="G227" t="s">
        <v>28</v>
      </c>
      <c r="H227" t="s">
        <v>17</v>
      </c>
      <c r="I227" t="s">
        <v>26</v>
      </c>
      <c r="J227" s="2">
        <f>Table1[[#This Row],[Quantity]]*Table1[[#This Row],[Price]]</f>
        <v>8799.9456000000009</v>
      </c>
    </row>
    <row r="228" spans="1:10" x14ac:dyDescent="0.35">
      <c r="A228">
        <v>10686</v>
      </c>
      <c r="B228" s="1">
        <v>44919</v>
      </c>
      <c r="C228" t="s">
        <v>22</v>
      </c>
      <c r="D228" s="2">
        <v>9.9499999999999993</v>
      </c>
      <c r="E228" s="2">
        <v>241.21</v>
      </c>
      <c r="F228" t="s">
        <v>16</v>
      </c>
      <c r="G228" t="s">
        <v>28</v>
      </c>
      <c r="H228" t="s">
        <v>17</v>
      </c>
      <c r="I228" t="s">
        <v>26</v>
      </c>
      <c r="J228" s="2">
        <f>Table1[[#This Row],[Quantity]]*Table1[[#This Row],[Price]]</f>
        <v>2400.0394999999999</v>
      </c>
    </row>
    <row r="229" spans="1:10" x14ac:dyDescent="0.35">
      <c r="A229">
        <v>10687</v>
      </c>
      <c r="B229" s="1">
        <v>44919</v>
      </c>
      <c r="C229" t="s">
        <v>9</v>
      </c>
      <c r="D229" s="2">
        <v>3.49</v>
      </c>
      <c r="E229" s="2">
        <v>630.37</v>
      </c>
      <c r="F229" t="s">
        <v>16</v>
      </c>
      <c r="G229" t="s">
        <v>28</v>
      </c>
      <c r="H229" t="s">
        <v>21</v>
      </c>
      <c r="I229" t="s">
        <v>20</v>
      </c>
      <c r="J229" s="2">
        <f>Table1[[#This Row],[Quantity]]*Table1[[#This Row],[Price]]</f>
        <v>2199.9913000000001</v>
      </c>
    </row>
    <row r="230" spans="1:10" x14ac:dyDescent="0.35">
      <c r="A230">
        <v>10688</v>
      </c>
      <c r="B230" s="1">
        <v>44919</v>
      </c>
      <c r="C230" t="s">
        <v>13</v>
      </c>
      <c r="D230" s="2">
        <v>2.95</v>
      </c>
      <c r="E230" s="2">
        <v>677.97</v>
      </c>
      <c r="F230" t="s">
        <v>16</v>
      </c>
      <c r="G230" t="s">
        <v>28</v>
      </c>
      <c r="H230" t="s">
        <v>21</v>
      </c>
      <c r="I230" t="s">
        <v>20</v>
      </c>
      <c r="J230" s="2">
        <f>Table1[[#This Row],[Quantity]]*Table1[[#This Row],[Price]]</f>
        <v>2000.0115000000003</v>
      </c>
    </row>
    <row r="231" spans="1:10" x14ac:dyDescent="0.35">
      <c r="A231">
        <v>10689</v>
      </c>
      <c r="B231" s="1">
        <v>44919</v>
      </c>
      <c r="C231" t="s">
        <v>15</v>
      </c>
      <c r="D231" s="2">
        <v>4.99</v>
      </c>
      <c r="E231" s="2">
        <v>200.4</v>
      </c>
      <c r="F231" t="s">
        <v>16</v>
      </c>
      <c r="G231" t="s">
        <v>28</v>
      </c>
      <c r="H231" t="s">
        <v>21</v>
      </c>
      <c r="I231" t="s">
        <v>20</v>
      </c>
      <c r="J231" s="2">
        <f>Table1[[#This Row],[Quantity]]*Table1[[#This Row],[Price]]</f>
        <v>999.99600000000009</v>
      </c>
    </row>
    <row r="232" spans="1:10" x14ac:dyDescent="0.35">
      <c r="A232">
        <v>10690</v>
      </c>
      <c r="B232" s="1">
        <v>44920</v>
      </c>
      <c r="C232" t="s">
        <v>18</v>
      </c>
      <c r="D232" s="2">
        <v>12.99</v>
      </c>
      <c r="E232" s="2">
        <v>677.44</v>
      </c>
      <c r="F232" t="s">
        <v>16</v>
      </c>
      <c r="G232" t="s">
        <v>28</v>
      </c>
      <c r="H232" t="s">
        <v>21</v>
      </c>
      <c r="I232" t="s">
        <v>20</v>
      </c>
      <c r="J232" s="2">
        <f>Table1[[#This Row],[Quantity]]*Table1[[#This Row],[Price]]</f>
        <v>8799.9456000000009</v>
      </c>
    </row>
    <row r="233" spans="1:10" x14ac:dyDescent="0.35">
      <c r="A233">
        <v>10691</v>
      </c>
      <c r="B233" s="1">
        <v>44920</v>
      </c>
      <c r="C233" t="s">
        <v>22</v>
      </c>
      <c r="D233" s="2">
        <v>9.9499999999999993</v>
      </c>
      <c r="E233" s="2">
        <v>261.31</v>
      </c>
      <c r="F233" t="s">
        <v>16</v>
      </c>
      <c r="G233" t="s">
        <v>28</v>
      </c>
      <c r="H233" t="s">
        <v>21</v>
      </c>
      <c r="I233" t="s">
        <v>20</v>
      </c>
      <c r="J233" s="2">
        <f>Table1[[#This Row],[Quantity]]*Table1[[#This Row],[Price]]</f>
        <v>2600.0344999999998</v>
      </c>
    </row>
    <row r="234" spans="1:10" x14ac:dyDescent="0.35">
      <c r="A234">
        <v>10692</v>
      </c>
      <c r="B234" s="1">
        <v>44920</v>
      </c>
      <c r="C234" t="s">
        <v>9</v>
      </c>
      <c r="D234" s="2">
        <v>3.49</v>
      </c>
      <c r="E234" s="2">
        <v>630.37</v>
      </c>
      <c r="F234" t="s">
        <v>16</v>
      </c>
      <c r="G234" t="s">
        <v>28</v>
      </c>
      <c r="H234" t="s">
        <v>21</v>
      </c>
      <c r="I234" t="s">
        <v>20</v>
      </c>
      <c r="J234" s="2">
        <f>Table1[[#This Row],[Quantity]]*Table1[[#This Row],[Price]]</f>
        <v>2199.9913000000001</v>
      </c>
    </row>
    <row r="235" spans="1:10" x14ac:dyDescent="0.35">
      <c r="A235">
        <v>10693</v>
      </c>
      <c r="B235" s="1">
        <v>44920</v>
      </c>
      <c r="C235" t="s">
        <v>13</v>
      </c>
      <c r="D235" s="2">
        <v>2.95</v>
      </c>
      <c r="E235" s="2">
        <v>677.97</v>
      </c>
      <c r="F235" t="s">
        <v>16</v>
      </c>
      <c r="G235" t="s">
        <v>28</v>
      </c>
      <c r="H235" t="s">
        <v>21</v>
      </c>
      <c r="I235" t="s">
        <v>20</v>
      </c>
      <c r="J235" s="2">
        <f>Table1[[#This Row],[Quantity]]*Table1[[#This Row],[Price]]</f>
        <v>2000.0115000000003</v>
      </c>
    </row>
    <row r="236" spans="1:10" x14ac:dyDescent="0.35">
      <c r="A236">
        <v>10694</v>
      </c>
      <c r="B236" s="1">
        <v>44920</v>
      </c>
      <c r="C236" t="s">
        <v>15</v>
      </c>
      <c r="D236" s="2">
        <v>4.99</v>
      </c>
      <c r="E236" s="2">
        <v>200.4</v>
      </c>
      <c r="F236" t="s">
        <v>16</v>
      </c>
      <c r="G236" t="s">
        <v>28</v>
      </c>
      <c r="H236" t="s">
        <v>21</v>
      </c>
      <c r="I236" t="s">
        <v>20</v>
      </c>
      <c r="J236" s="2">
        <f>Table1[[#This Row],[Quantity]]*Table1[[#This Row],[Price]]</f>
        <v>999.99600000000009</v>
      </c>
    </row>
    <row r="237" spans="1:10" x14ac:dyDescent="0.35">
      <c r="A237">
        <v>10695</v>
      </c>
      <c r="B237" s="1">
        <v>44921</v>
      </c>
      <c r="C237" t="s">
        <v>18</v>
      </c>
      <c r="D237" s="2">
        <v>12.99</v>
      </c>
      <c r="E237" s="2">
        <v>692.84</v>
      </c>
      <c r="F237" t="s">
        <v>16</v>
      </c>
      <c r="G237" t="s">
        <v>28</v>
      </c>
      <c r="H237" t="s">
        <v>21</v>
      </c>
      <c r="I237" t="s">
        <v>20</v>
      </c>
      <c r="J237" s="2">
        <f>Table1[[#This Row],[Quantity]]*Table1[[#This Row],[Price]]</f>
        <v>8999.9916000000012</v>
      </c>
    </row>
    <row r="238" spans="1:10" x14ac:dyDescent="0.35">
      <c r="A238">
        <v>10696</v>
      </c>
      <c r="B238" s="1">
        <v>44921</v>
      </c>
      <c r="C238" t="s">
        <v>22</v>
      </c>
      <c r="D238" s="2">
        <v>9.9499999999999993</v>
      </c>
      <c r="E238" s="2">
        <v>281.41000000000003</v>
      </c>
      <c r="F238" t="s">
        <v>16</v>
      </c>
      <c r="G238" t="s">
        <v>28</v>
      </c>
      <c r="H238" t="s">
        <v>21</v>
      </c>
      <c r="I238" t="s">
        <v>20</v>
      </c>
      <c r="J238" s="2">
        <f>Table1[[#This Row],[Quantity]]*Table1[[#This Row],[Price]]</f>
        <v>2800.0295000000001</v>
      </c>
    </row>
    <row r="239" spans="1:10" x14ac:dyDescent="0.35">
      <c r="A239">
        <v>10697</v>
      </c>
      <c r="B239" s="1">
        <v>44921</v>
      </c>
      <c r="C239" t="s">
        <v>9</v>
      </c>
      <c r="D239" s="2">
        <v>3.49</v>
      </c>
      <c r="E239" s="2">
        <v>630.37</v>
      </c>
      <c r="F239" t="s">
        <v>16</v>
      </c>
      <c r="G239" t="s">
        <v>28</v>
      </c>
      <c r="H239" t="s">
        <v>21</v>
      </c>
      <c r="I239" t="s">
        <v>20</v>
      </c>
      <c r="J239" s="2">
        <f>Table1[[#This Row],[Quantity]]*Table1[[#This Row],[Price]]</f>
        <v>2199.9913000000001</v>
      </c>
    </row>
    <row r="240" spans="1:10" x14ac:dyDescent="0.35">
      <c r="A240">
        <v>10698</v>
      </c>
      <c r="B240" s="1">
        <v>44921</v>
      </c>
      <c r="C240" t="s">
        <v>13</v>
      </c>
      <c r="D240" s="2">
        <v>2.95</v>
      </c>
      <c r="E240" s="2">
        <v>677.97</v>
      </c>
      <c r="F240" t="s">
        <v>16</v>
      </c>
      <c r="G240" t="s">
        <v>28</v>
      </c>
      <c r="H240" t="s">
        <v>21</v>
      </c>
      <c r="I240" t="s">
        <v>20</v>
      </c>
      <c r="J240" s="2">
        <f>Table1[[#This Row],[Quantity]]*Table1[[#This Row],[Price]]</f>
        <v>2000.0115000000003</v>
      </c>
    </row>
    <row r="241" spans="1:10" x14ac:dyDescent="0.35">
      <c r="A241">
        <v>10699</v>
      </c>
      <c r="B241" s="1">
        <v>44921</v>
      </c>
      <c r="C241" t="s">
        <v>15</v>
      </c>
      <c r="D241" s="2">
        <v>4.99</v>
      </c>
      <c r="E241" s="2">
        <v>200.4</v>
      </c>
      <c r="F241" t="s">
        <v>16</v>
      </c>
      <c r="G241" t="s">
        <v>28</v>
      </c>
      <c r="H241" t="s">
        <v>21</v>
      </c>
      <c r="I241" t="s">
        <v>20</v>
      </c>
      <c r="J241" s="2">
        <f>Table1[[#This Row],[Quantity]]*Table1[[#This Row],[Price]]</f>
        <v>999.99600000000009</v>
      </c>
    </row>
    <row r="242" spans="1:10" x14ac:dyDescent="0.35">
      <c r="A242">
        <v>10700</v>
      </c>
      <c r="B242" s="1">
        <v>44922</v>
      </c>
      <c r="C242" t="s">
        <v>18</v>
      </c>
      <c r="D242" s="2">
        <v>12.99</v>
      </c>
      <c r="E242" s="2">
        <v>692.84</v>
      </c>
      <c r="F242" t="s">
        <v>16</v>
      </c>
      <c r="G242" t="s">
        <v>28</v>
      </c>
      <c r="H242" t="s">
        <v>21</v>
      </c>
      <c r="I242" t="s">
        <v>20</v>
      </c>
      <c r="J242" s="2">
        <f>Table1[[#This Row],[Quantity]]*Table1[[#This Row],[Price]]</f>
        <v>8999.9916000000012</v>
      </c>
    </row>
    <row r="243" spans="1:10" x14ac:dyDescent="0.35">
      <c r="A243">
        <v>10701</v>
      </c>
      <c r="B243" s="1">
        <v>44922</v>
      </c>
      <c r="C243" t="s">
        <v>22</v>
      </c>
      <c r="D243" s="2">
        <v>9.9499999999999993</v>
      </c>
      <c r="E243" s="2">
        <v>281.41000000000003</v>
      </c>
      <c r="F243" t="s">
        <v>16</v>
      </c>
      <c r="G243" t="s">
        <v>28</v>
      </c>
      <c r="H243" t="s">
        <v>21</v>
      </c>
      <c r="I243" t="s">
        <v>20</v>
      </c>
      <c r="J243" s="2">
        <f>Table1[[#This Row],[Quantity]]*Table1[[#This Row],[Price]]</f>
        <v>2800.0295000000001</v>
      </c>
    </row>
    <row r="244" spans="1:10" x14ac:dyDescent="0.35">
      <c r="A244">
        <v>10702</v>
      </c>
      <c r="B244" s="1">
        <v>44922</v>
      </c>
      <c r="C244" t="s">
        <v>9</v>
      </c>
      <c r="D244" s="2">
        <v>3.49</v>
      </c>
      <c r="E244" s="2">
        <v>630.37</v>
      </c>
      <c r="F244" t="s">
        <v>16</v>
      </c>
      <c r="G244" t="s">
        <v>28</v>
      </c>
      <c r="H244" t="s">
        <v>21</v>
      </c>
      <c r="I244" t="s">
        <v>20</v>
      </c>
      <c r="J244" s="2">
        <f>Table1[[#This Row],[Quantity]]*Table1[[#This Row],[Price]]</f>
        <v>2199.9913000000001</v>
      </c>
    </row>
    <row r="245" spans="1:10" x14ac:dyDescent="0.35">
      <c r="A245">
        <v>10703</v>
      </c>
      <c r="B245" s="1">
        <v>44922</v>
      </c>
      <c r="C245" t="s">
        <v>13</v>
      </c>
      <c r="D245" s="2">
        <v>2.95</v>
      </c>
      <c r="E245" s="2">
        <v>677.97</v>
      </c>
      <c r="F245" t="s">
        <v>16</v>
      </c>
      <c r="G245" t="s">
        <v>11</v>
      </c>
      <c r="H245" t="s">
        <v>21</v>
      </c>
      <c r="I245" t="s">
        <v>20</v>
      </c>
      <c r="J245" s="2">
        <f>Table1[[#This Row],[Quantity]]*Table1[[#This Row],[Price]]</f>
        <v>2000.0115000000003</v>
      </c>
    </row>
    <row r="246" spans="1:10" x14ac:dyDescent="0.35">
      <c r="A246">
        <v>10704</v>
      </c>
      <c r="B246" s="1">
        <v>44922</v>
      </c>
      <c r="C246" t="s">
        <v>15</v>
      </c>
      <c r="D246" s="2">
        <v>4.99</v>
      </c>
      <c r="E246" s="2">
        <v>200.4</v>
      </c>
      <c r="F246" t="s">
        <v>27</v>
      </c>
      <c r="G246" t="s">
        <v>11</v>
      </c>
      <c r="H246" t="s">
        <v>21</v>
      </c>
      <c r="I246" t="s">
        <v>20</v>
      </c>
      <c r="J246" s="2">
        <f>Table1[[#This Row],[Quantity]]*Table1[[#This Row],[Price]]</f>
        <v>999.99600000000009</v>
      </c>
    </row>
    <row r="247" spans="1:10" x14ac:dyDescent="0.35">
      <c r="A247">
        <v>10705</v>
      </c>
      <c r="B247" s="1">
        <v>44923</v>
      </c>
      <c r="C247" t="s">
        <v>18</v>
      </c>
      <c r="D247" s="2">
        <v>12.99</v>
      </c>
      <c r="E247" s="2">
        <v>723.63</v>
      </c>
      <c r="F247" t="s">
        <v>27</v>
      </c>
      <c r="G247" t="s">
        <v>11</v>
      </c>
      <c r="H247" t="s">
        <v>21</v>
      </c>
      <c r="I247" t="s">
        <v>20</v>
      </c>
      <c r="J247" s="2">
        <f>Table1[[#This Row],[Quantity]]*Table1[[#This Row],[Price]]</f>
        <v>9399.9537</v>
      </c>
    </row>
    <row r="248" spans="1:10" x14ac:dyDescent="0.35">
      <c r="A248">
        <v>10706</v>
      </c>
      <c r="B248" s="1">
        <v>44923</v>
      </c>
      <c r="C248" t="s">
        <v>22</v>
      </c>
      <c r="D248" s="2">
        <v>9.9499999999999993</v>
      </c>
      <c r="E248" s="2">
        <v>301.51</v>
      </c>
      <c r="F248" t="s">
        <v>27</v>
      </c>
      <c r="G248" t="s">
        <v>11</v>
      </c>
      <c r="H248" t="s">
        <v>21</v>
      </c>
      <c r="I248" t="s">
        <v>20</v>
      </c>
      <c r="J248" s="2">
        <f>Table1[[#This Row],[Quantity]]*Table1[[#This Row],[Price]]</f>
        <v>3000.0244999999995</v>
      </c>
    </row>
    <row r="249" spans="1:10" x14ac:dyDescent="0.35">
      <c r="A249">
        <v>10707</v>
      </c>
      <c r="B249" s="1">
        <v>44923</v>
      </c>
      <c r="C249" t="s">
        <v>9</v>
      </c>
      <c r="D249" s="2">
        <v>3.49</v>
      </c>
      <c r="E249" s="2">
        <v>630.37</v>
      </c>
      <c r="F249" t="s">
        <v>27</v>
      </c>
      <c r="G249" t="s">
        <v>11</v>
      </c>
      <c r="H249" t="s">
        <v>21</v>
      </c>
      <c r="I249" t="s">
        <v>20</v>
      </c>
      <c r="J249" s="2">
        <f>Table1[[#This Row],[Quantity]]*Table1[[#This Row],[Price]]</f>
        <v>2199.9913000000001</v>
      </c>
    </row>
    <row r="250" spans="1:10" x14ac:dyDescent="0.35">
      <c r="A250">
        <v>10708</v>
      </c>
      <c r="B250" s="1">
        <v>44923</v>
      </c>
      <c r="C250" t="s">
        <v>13</v>
      </c>
      <c r="D250" s="2">
        <v>2.95</v>
      </c>
      <c r="E250" s="2">
        <v>677.97</v>
      </c>
      <c r="F250" t="s">
        <v>27</v>
      </c>
      <c r="G250" t="s">
        <v>11</v>
      </c>
      <c r="H250" t="s">
        <v>21</v>
      </c>
      <c r="I250" t="s">
        <v>20</v>
      </c>
      <c r="J250" s="2">
        <f>Table1[[#This Row],[Quantity]]*Table1[[#This Row],[Price]]</f>
        <v>2000.0115000000003</v>
      </c>
    </row>
    <row r="251" spans="1:10" x14ac:dyDescent="0.35">
      <c r="A251">
        <v>10709</v>
      </c>
      <c r="B251" s="1">
        <v>44923</v>
      </c>
      <c r="C251" t="s">
        <v>15</v>
      </c>
      <c r="D251" s="2">
        <v>4.99</v>
      </c>
      <c r="E251" s="2">
        <v>200.4</v>
      </c>
      <c r="F251" t="s">
        <v>27</v>
      </c>
      <c r="G251" t="s">
        <v>11</v>
      </c>
      <c r="H251" t="s">
        <v>21</v>
      </c>
      <c r="I251" t="s">
        <v>20</v>
      </c>
      <c r="J251" s="2">
        <f>Table1[[#This Row],[Quantity]]*Table1[[#This Row],[Price]]</f>
        <v>999.99600000000009</v>
      </c>
    </row>
    <row r="252" spans="1:10" x14ac:dyDescent="0.35">
      <c r="A252">
        <v>10710</v>
      </c>
      <c r="B252" s="1">
        <v>44924</v>
      </c>
      <c r="C252" t="s">
        <v>18</v>
      </c>
      <c r="D252" s="2">
        <v>12.99</v>
      </c>
      <c r="E252" s="2">
        <v>754.43</v>
      </c>
      <c r="F252" t="s">
        <v>27</v>
      </c>
      <c r="G252" t="s">
        <v>11</v>
      </c>
      <c r="H252" t="s">
        <v>21</v>
      </c>
      <c r="I252" t="s">
        <v>20</v>
      </c>
      <c r="J252" s="2">
        <f>Table1[[#This Row],[Quantity]]*Table1[[#This Row],[Price]]</f>
        <v>9800.0456999999988</v>
      </c>
    </row>
    <row r="253" spans="1:10" x14ac:dyDescent="0.35">
      <c r="A253">
        <v>10711</v>
      </c>
      <c r="B253" s="1">
        <v>44924</v>
      </c>
      <c r="C253" t="s">
        <v>22</v>
      </c>
      <c r="D253" s="2">
        <v>9.9499999999999993</v>
      </c>
      <c r="E253" s="2">
        <v>281.41000000000003</v>
      </c>
      <c r="F253" t="s">
        <v>27</v>
      </c>
      <c r="G253" t="s">
        <v>11</v>
      </c>
      <c r="H253" t="s">
        <v>21</v>
      </c>
      <c r="I253" t="s">
        <v>20</v>
      </c>
      <c r="J253" s="2">
        <f>Table1[[#This Row],[Quantity]]*Table1[[#This Row],[Price]]</f>
        <v>2800.0295000000001</v>
      </c>
    </row>
    <row r="254" spans="1:10" x14ac:dyDescent="0.35">
      <c r="A254">
        <v>10712</v>
      </c>
      <c r="B254" s="1">
        <v>44924</v>
      </c>
      <c r="C254" t="s">
        <v>9</v>
      </c>
      <c r="D254" s="2">
        <v>3.49</v>
      </c>
      <c r="E254" s="2">
        <v>630.37</v>
      </c>
      <c r="F254" t="s">
        <v>27</v>
      </c>
      <c r="G254" t="s">
        <v>11</v>
      </c>
      <c r="H254" t="s">
        <v>21</v>
      </c>
      <c r="I254" t="s">
        <v>20</v>
      </c>
      <c r="J254" s="2">
        <f>Table1[[#This Row],[Quantity]]*Table1[[#This Row],[Price]]</f>
        <v>2199.9913000000001</v>
      </c>
    </row>
    <row r="255" spans="1:10" x14ac:dyDescent="0.35">
      <c r="A255">
        <v>10713</v>
      </c>
      <c r="B255" s="1">
        <v>44924</v>
      </c>
      <c r="C255" t="s">
        <v>13</v>
      </c>
      <c r="D255" s="2">
        <v>2.95</v>
      </c>
      <c r="E255" s="2">
        <v>677.97</v>
      </c>
      <c r="F255" t="s">
        <v>27</v>
      </c>
      <c r="G255" t="s">
        <v>11</v>
      </c>
      <c r="H255" t="s">
        <v>21</v>
      </c>
      <c r="I255" t="s">
        <v>20</v>
      </c>
      <c r="J255" s="2">
        <f>Table1[[#This Row],[Quantity]]*Table1[[#This Row],[Price]]</f>
        <v>2000.0115000000003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F75"/>
  <sheetViews>
    <sheetView tabSelected="1" topLeftCell="B1" zoomScale="85" workbookViewId="0">
      <selection activeCell="J13" sqref="J13"/>
    </sheetView>
  </sheetViews>
  <sheetFormatPr defaultColWidth="12.81640625" defaultRowHeight="14.5" x14ac:dyDescent="0.35"/>
  <cols>
    <col min="1" max="2" width="12.81640625" style="3"/>
    <col min="3" max="3" width="19.453125" style="3" bestFit="1" customWidth="1"/>
    <col min="4" max="4" width="8.54296875" style="3" customWidth="1"/>
    <col min="5" max="5" width="9.1796875" style="3" customWidth="1"/>
    <col min="6" max="6" width="12.81640625" style="3"/>
    <col min="7" max="7" width="15.453125" style="3" customWidth="1"/>
    <col min="8" max="8" width="11.6328125" style="3" customWidth="1"/>
    <col min="9" max="9" width="9.1796875" style="3" customWidth="1"/>
    <col min="10" max="10" width="12.81640625" style="3"/>
    <col min="11" max="11" width="15.453125" style="3" customWidth="1"/>
    <col min="12" max="12" width="18.1796875" style="3" customWidth="1"/>
    <col min="13" max="13" width="8.453125" style="3" customWidth="1"/>
    <col min="14" max="16384" width="12.81640625" style="3"/>
  </cols>
  <sheetData>
    <row r="2" spans="3:13" x14ac:dyDescent="0.35">
      <c r="C2" s="4" t="s">
        <v>41</v>
      </c>
      <c r="D2" s="3" t="s">
        <v>33</v>
      </c>
      <c r="E2" s="3" t="s">
        <v>35</v>
      </c>
      <c r="G2" s="4" t="s">
        <v>38</v>
      </c>
      <c r="H2" s="3" t="s">
        <v>36</v>
      </c>
      <c r="I2" s="3" t="s">
        <v>35</v>
      </c>
      <c r="K2" s="4" t="s">
        <v>34</v>
      </c>
      <c r="L2" s="4" t="s">
        <v>39</v>
      </c>
    </row>
    <row r="3" spans="3:13" x14ac:dyDescent="0.35">
      <c r="C3" s="3" t="s">
        <v>26</v>
      </c>
      <c r="D3" s="3">
        <v>35752.840000000004</v>
      </c>
      <c r="E3" s="3">
        <v>241714.11570000002</v>
      </c>
      <c r="G3" s="3" t="s">
        <v>27</v>
      </c>
      <c r="H3" s="3">
        <v>61</v>
      </c>
      <c r="I3" s="3">
        <v>178600.47299999997</v>
      </c>
      <c r="K3" s="4" t="s">
        <v>40</v>
      </c>
      <c r="L3" s="3" t="s">
        <v>31</v>
      </c>
      <c r="M3" s="3" t="s">
        <v>32</v>
      </c>
    </row>
    <row r="4" spans="3:13" x14ac:dyDescent="0.35">
      <c r="C4" s="3" t="s">
        <v>13</v>
      </c>
      <c r="D4" s="3">
        <v>11389.840000000002</v>
      </c>
      <c r="E4" s="3">
        <v>33600.027999999991</v>
      </c>
      <c r="G4" s="3" t="s">
        <v>28</v>
      </c>
      <c r="H4" s="3">
        <v>19</v>
      </c>
      <c r="I4" s="3">
        <v>52600.167499999996</v>
      </c>
      <c r="K4" s="3" t="s">
        <v>26</v>
      </c>
      <c r="L4" s="3">
        <v>57113.889000000003</v>
      </c>
      <c r="M4" s="3">
        <v>184600.22670000006</v>
      </c>
    </row>
    <row r="5" spans="3:13" x14ac:dyDescent="0.35">
      <c r="C5" s="3" t="s">
        <v>18</v>
      </c>
      <c r="D5" s="3">
        <v>8375.6600000000017</v>
      </c>
      <c r="E5" s="3">
        <v>108799.82340000002</v>
      </c>
      <c r="G5" s="3" t="s">
        <v>19</v>
      </c>
      <c r="H5" s="3">
        <v>32</v>
      </c>
      <c r="I5" s="3">
        <v>90600.254499999981</v>
      </c>
      <c r="K5" s="3" t="s">
        <v>25</v>
      </c>
      <c r="L5" s="3">
        <v>136200.26649999997</v>
      </c>
    </row>
    <row r="6" spans="3:13" x14ac:dyDescent="0.35">
      <c r="C6" s="3" t="s">
        <v>22</v>
      </c>
      <c r="D6" s="3">
        <v>3296.5500000000011</v>
      </c>
      <c r="E6" s="3">
        <v>36639.963499999998</v>
      </c>
      <c r="G6" s="3" t="s">
        <v>11</v>
      </c>
      <c r="H6" s="3">
        <v>10</v>
      </c>
      <c r="I6" s="3">
        <v>35400.050999999999</v>
      </c>
      <c r="K6" s="3" t="s">
        <v>24</v>
      </c>
      <c r="L6" s="3">
        <v>52000.1751</v>
      </c>
      <c r="M6" s="3">
        <v>27800.13</v>
      </c>
    </row>
    <row r="7" spans="3:13" x14ac:dyDescent="0.35">
      <c r="C7" s="3" t="s">
        <v>9</v>
      </c>
      <c r="D7" s="3">
        <v>9684.7900000000027</v>
      </c>
      <c r="E7" s="3">
        <v>47674.360800000009</v>
      </c>
      <c r="G7" s="3" t="s">
        <v>16</v>
      </c>
      <c r="H7" s="3">
        <v>86</v>
      </c>
      <c r="I7" s="3">
        <v>285713.99939999997</v>
      </c>
      <c r="K7" s="3" t="s">
        <v>29</v>
      </c>
      <c r="L7" s="3">
        <v>76400.268999999986</v>
      </c>
      <c r="M7" s="3">
        <v>134800.77159999995</v>
      </c>
    </row>
    <row r="8" spans="3:13" x14ac:dyDescent="0.35">
      <c r="C8" s="3" t="s">
        <v>15</v>
      </c>
      <c r="D8" s="3">
        <v>3006.0000000000009</v>
      </c>
      <c r="E8" s="3">
        <v>14999.939999999995</v>
      </c>
      <c r="G8" s="3" t="s">
        <v>28</v>
      </c>
      <c r="H8" s="3">
        <v>43</v>
      </c>
      <c r="I8" s="3">
        <v>144799.91929999995</v>
      </c>
      <c r="K8" s="3" t="s">
        <v>20</v>
      </c>
      <c r="L8" s="3">
        <v>10400.058799999999</v>
      </c>
      <c r="M8" s="3">
        <v>90200.07249999998</v>
      </c>
    </row>
    <row r="9" spans="3:13" x14ac:dyDescent="0.35">
      <c r="C9" s="3" t="s">
        <v>25</v>
      </c>
      <c r="D9" s="3">
        <v>20444.25</v>
      </c>
      <c r="E9" s="3">
        <v>136200.2665</v>
      </c>
      <c r="G9" s="3" t="s">
        <v>19</v>
      </c>
      <c r="H9" s="3">
        <v>41</v>
      </c>
      <c r="I9" s="3">
        <v>137914.07259999996</v>
      </c>
      <c r="K9" s="3" t="s">
        <v>35</v>
      </c>
      <c r="L9" s="3">
        <v>332114.65839999996</v>
      </c>
      <c r="M9" s="3">
        <v>437401.20079999999</v>
      </c>
    </row>
    <row r="10" spans="3:13" x14ac:dyDescent="0.35">
      <c r="C10" s="3" t="s">
        <v>13</v>
      </c>
      <c r="D10" s="3">
        <v>6237.3100000000013</v>
      </c>
      <c r="E10" s="3">
        <v>18400.064500000004</v>
      </c>
      <c r="G10" s="3" t="s">
        <v>11</v>
      </c>
      <c r="H10" s="3">
        <v>2</v>
      </c>
      <c r="I10" s="3">
        <v>3000.0075000000006</v>
      </c>
    </row>
    <row r="11" spans="3:13" x14ac:dyDescent="0.35">
      <c r="C11" s="3" t="s">
        <v>18</v>
      </c>
      <c r="D11" s="3">
        <v>5665.88</v>
      </c>
      <c r="E11" s="3">
        <v>73599.781199999998</v>
      </c>
      <c r="G11" s="3" t="s">
        <v>10</v>
      </c>
      <c r="H11" s="3">
        <v>107</v>
      </c>
      <c r="I11" s="3">
        <v>305201.38679999986</v>
      </c>
    </row>
    <row r="12" spans="3:13" x14ac:dyDescent="0.35">
      <c r="C12" s="3" t="s">
        <v>22</v>
      </c>
      <c r="D12" s="3">
        <v>1809.09</v>
      </c>
      <c r="E12" s="3">
        <v>18000.445499999998</v>
      </c>
      <c r="G12" s="3" t="s">
        <v>28</v>
      </c>
      <c r="H12" s="3">
        <v>14</v>
      </c>
      <c r="I12" s="3">
        <v>41800.148699999991</v>
      </c>
    </row>
    <row r="13" spans="3:13" x14ac:dyDescent="0.35">
      <c r="C13" s="3" t="s">
        <v>9</v>
      </c>
      <c r="D13" s="3">
        <v>4928.37</v>
      </c>
      <c r="E13" s="3">
        <v>17200.011300000002</v>
      </c>
      <c r="G13" s="3" t="s">
        <v>19</v>
      </c>
      <c r="H13" s="3">
        <v>47</v>
      </c>
      <c r="I13" s="3">
        <v>133200.69939999992</v>
      </c>
    </row>
    <row r="14" spans="3:13" x14ac:dyDescent="0.35">
      <c r="C14" s="3" t="s">
        <v>15</v>
      </c>
      <c r="D14" s="3">
        <v>1803.6000000000004</v>
      </c>
      <c r="E14" s="3">
        <v>8999.9639999999999</v>
      </c>
      <c r="G14" s="3" t="s">
        <v>11</v>
      </c>
      <c r="H14" s="3">
        <v>46</v>
      </c>
      <c r="I14" s="3">
        <v>130200.53869999999</v>
      </c>
    </row>
    <row r="15" spans="3:13" x14ac:dyDescent="0.35">
      <c r="C15" s="3" t="s">
        <v>24</v>
      </c>
      <c r="D15" s="3">
        <v>12491.53</v>
      </c>
      <c r="E15" s="3">
        <v>79800.305099999998</v>
      </c>
      <c r="G15" s="3" t="s">
        <v>35</v>
      </c>
      <c r="H15" s="3">
        <v>254</v>
      </c>
      <c r="I15" s="3">
        <v>769515.85920000053</v>
      </c>
    </row>
    <row r="16" spans="3:13" x14ac:dyDescent="0.35">
      <c r="C16" s="3" t="s">
        <v>13</v>
      </c>
      <c r="D16" s="3">
        <v>3525.4300000000003</v>
      </c>
      <c r="E16" s="3">
        <v>10400.018500000002</v>
      </c>
    </row>
    <row r="17" spans="3:58" x14ac:dyDescent="0.35">
      <c r="C17" s="3" t="s">
        <v>18</v>
      </c>
      <c r="D17" s="3">
        <v>3033.1</v>
      </c>
      <c r="E17" s="3">
        <v>39399.968999999997</v>
      </c>
    </row>
    <row r="18" spans="3:58" x14ac:dyDescent="0.35">
      <c r="C18" s="3" t="s">
        <v>22</v>
      </c>
      <c r="D18" s="3">
        <v>1206.06</v>
      </c>
      <c r="E18" s="3">
        <v>12000.296999999999</v>
      </c>
      <c r="G18" s="4" t="s">
        <v>37</v>
      </c>
      <c r="H18" s="3" t="s">
        <v>35</v>
      </c>
      <c r="I18" s="5"/>
    </row>
    <row r="19" spans="3:58" x14ac:dyDescent="0.35">
      <c r="C19" s="3" t="s">
        <v>9</v>
      </c>
      <c r="D19" s="3">
        <v>3724.94</v>
      </c>
      <c r="E19" s="3">
        <v>13000.0406</v>
      </c>
      <c r="G19" s="3" t="s">
        <v>31</v>
      </c>
      <c r="H19" s="3">
        <v>332114.65840000019</v>
      </c>
      <c r="I19" s="5"/>
    </row>
    <row r="20" spans="3:58" x14ac:dyDescent="0.35">
      <c r="C20" s="3" t="s">
        <v>15</v>
      </c>
      <c r="D20" s="3">
        <v>1002</v>
      </c>
      <c r="E20" s="3">
        <v>4999.9800000000005</v>
      </c>
      <c r="G20" s="3" t="s">
        <v>32</v>
      </c>
      <c r="H20" s="3">
        <v>437401.20079999993</v>
      </c>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row>
    <row r="21" spans="3:58" x14ac:dyDescent="0.35">
      <c r="C21" s="3" t="s">
        <v>29</v>
      </c>
      <c r="D21" s="3">
        <v>33535.340000000004</v>
      </c>
      <c r="E21" s="3">
        <v>211201.04060000004</v>
      </c>
      <c r="G21" s="3" t="s">
        <v>35</v>
      </c>
      <c r="H21" s="3">
        <v>769515.85920000006</v>
      </c>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row>
    <row r="22" spans="3:58" x14ac:dyDescent="0.35">
      <c r="C22" s="3" t="s">
        <v>13</v>
      </c>
      <c r="D22" s="3">
        <v>9762.7400000000016</v>
      </c>
      <c r="E22" s="3">
        <v>28800.083000000006</v>
      </c>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row>
    <row r="23" spans="3:58" x14ac:dyDescent="0.35">
      <c r="C23" s="3" t="s">
        <v>18</v>
      </c>
      <c r="D23" s="3">
        <v>7836.8200000000006</v>
      </c>
      <c r="E23" s="3">
        <v>101800.29180000002</v>
      </c>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row>
    <row r="24" spans="3:58" x14ac:dyDescent="0.35">
      <c r="C24" s="3" t="s">
        <v>22</v>
      </c>
      <c r="D24" s="3">
        <v>3216.1600000000008</v>
      </c>
      <c r="E24" s="3">
        <v>32000.792000000005</v>
      </c>
      <c r="G24" s="5"/>
      <c r="H24" s="5"/>
      <c r="I24" s="5"/>
    </row>
    <row r="25" spans="3:58" x14ac:dyDescent="0.35">
      <c r="C25" s="3" t="s">
        <v>9</v>
      </c>
      <c r="D25" s="3">
        <v>9914.02</v>
      </c>
      <c r="E25" s="3">
        <v>34599.929800000005</v>
      </c>
      <c r="G25" s="5"/>
      <c r="H25" s="5"/>
      <c r="I25" s="5"/>
    </row>
    <row r="26" spans="3:58" x14ac:dyDescent="0.35">
      <c r="C26" s="3" t="s">
        <v>15</v>
      </c>
      <c r="D26" s="3">
        <v>2805.6000000000008</v>
      </c>
      <c r="E26" s="3">
        <v>13999.943999999996</v>
      </c>
    </row>
    <row r="27" spans="3:58" x14ac:dyDescent="0.35">
      <c r="C27" s="3" t="s">
        <v>20</v>
      </c>
      <c r="D27" s="3">
        <v>14771.35</v>
      </c>
      <c r="E27" s="3">
        <v>100600.13129999999</v>
      </c>
    </row>
    <row r="28" spans="3:58" x14ac:dyDescent="0.35">
      <c r="C28" s="3" t="s">
        <v>13</v>
      </c>
      <c r="D28" s="3">
        <v>4067.8200000000006</v>
      </c>
      <c r="E28" s="3">
        <v>12000.069000000001</v>
      </c>
      <c r="F28" s="5"/>
      <c r="G28" s="5"/>
    </row>
    <row r="29" spans="3:58" x14ac:dyDescent="0.35">
      <c r="C29" s="3" t="s">
        <v>18</v>
      </c>
      <c r="D29" s="3">
        <v>4110.8500000000004</v>
      </c>
      <c r="E29" s="3">
        <v>53399.941500000001</v>
      </c>
      <c r="F29" s="5"/>
      <c r="G29" s="5"/>
    </row>
    <row r="30" spans="3:58" x14ac:dyDescent="0.35">
      <c r="C30" s="3" t="s">
        <v>22</v>
      </c>
      <c r="D30" s="3">
        <v>1608.0600000000002</v>
      </c>
      <c r="E30" s="3">
        <v>16000.197</v>
      </c>
      <c r="F30" s="5"/>
      <c r="G30" s="5"/>
    </row>
    <row r="31" spans="3:58" x14ac:dyDescent="0.35">
      <c r="C31" s="3" t="s">
        <v>9</v>
      </c>
      <c r="D31" s="3">
        <v>3782.22</v>
      </c>
      <c r="E31" s="3">
        <v>13199.9478</v>
      </c>
      <c r="F31" s="5"/>
      <c r="G31" s="5"/>
    </row>
    <row r="32" spans="3:58" x14ac:dyDescent="0.35">
      <c r="C32" s="3" t="s">
        <v>15</v>
      </c>
      <c r="D32" s="3">
        <v>1202.4000000000001</v>
      </c>
      <c r="E32" s="3">
        <v>5999.9760000000006</v>
      </c>
      <c r="F32" s="5"/>
      <c r="G32" s="5"/>
    </row>
    <row r="33" spans="1:7" x14ac:dyDescent="0.35">
      <c r="C33" s="3" t="s">
        <v>35</v>
      </c>
      <c r="D33" s="3">
        <v>116995.31000000003</v>
      </c>
      <c r="E33" s="3">
        <v>769515.85920000006</v>
      </c>
      <c r="F33" s="5"/>
      <c r="G33" s="5"/>
    </row>
    <row r="34" spans="1:7" x14ac:dyDescent="0.35">
      <c r="A34" s="5"/>
      <c r="B34" s="5"/>
      <c r="C34" s="5"/>
      <c r="D34" s="5"/>
      <c r="E34" s="5"/>
      <c r="F34" s="5"/>
      <c r="G34" s="5"/>
    </row>
    <row r="35" spans="1:7" x14ac:dyDescent="0.35">
      <c r="A35" s="5"/>
      <c r="B35" s="5"/>
      <c r="C35" s="5"/>
      <c r="E35" s="5"/>
      <c r="F35" s="5"/>
      <c r="G35" s="5"/>
    </row>
    <row r="36" spans="1:7" x14ac:dyDescent="0.35">
      <c r="A36" s="5"/>
      <c r="B36" s="5"/>
      <c r="C36" s="5"/>
      <c r="E36" s="5"/>
      <c r="F36" s="5"/>
      <c r="G36" s="5"/>
    </row>
    <row r="37" spans="1:7" x14ac:dyDescent="0.35">
      <c r="A37" s="5"/>
      <c r="B37" s="5"/>
      <c r="C37" s="5"/>
      <c r="E37" s="5"/>
      <c r="F37" s="5"/>
      <c r="G37" s="5"/>
    </row>
    <row r="38" spans="1:7" x14ac:dyDescent="0.35">
      <c r="A38" s="5"/>
      <c r="B38" s="5"/>
      <c r="C38" s="5"/>
      <c r="E38" s="5"/>
      <c r="F38" s="5"/>
    </row>
    <row r="39" spans="1:7" x14ac:dyDescent="0.35">
      <c r="E39" s="5"/>
      <c r="F39" s="5"/>
    </row>
    <row r="40" spans="1:7" x14ac:dyDescent="0.35">
      <c r="E40" s="5"/>
      <c r="F40" s="5"/>
    </row>
    <row r="41" spans="1:7" x14ac:dyDescent="0.35">
      <c r="E41" s="5"/>
      <c r="F41" s="5"/>
    </row>
    <row r="42" spans="1:7" x14ac:dyDescent="0.35">
      <c r="E42" s="5"/>
      <c r="F42" s="5"/>
    </row>
    <row r="43" spans="1:7" x14ac:dyDescent="0.35">
      <c r="E43" s="5"/>
      <c r="F43" s="5"/>
    </row>
    <row r="44" spans="1:7" x14ac:dyDescent="0.35">
      <c r="E44" s="5"/>
      <c r="F44" s="5"/>
    </row>
    <row r="45" spans="1:7" x14ac:dyDescent="0.35">
      <c r="E45" s="5"/>
      <c r="F45" s="5"/>
    </row>
    <row r="46" spans="1:7" x14ac:dyDescent="0.35">
      <c r="E46" s="5"/>
      <c r="F46" s="5"/>
    </row>
    <row r="47" spans="1:7" x14ac:dyDescent="0.35">
      <c r="E47" s="5"/>
      <c r="F47" s="5"/>
    </row>
    <row r="48" spans="1:7" x14ac:dyDescent="0.35">
      <c r="E48" s="5"/>
      <c r="F48" s="5"/>
    </row>
    <row r="49" spans="5:6" x14ac:dyDescent="0.35">
      <c r="E49" s="5"/>
      <c r="F49" s="5"/>
    </row>
    <row r="50" spans="5:6" x14ac:dyDescent="0.35">
      <c r="E50" s="5"/>
      <c r="F50" s="5"/>
    </row>
    <row r="51" spans="5:6" x14ac:dyDescent="0.35">
      <c r="E51" s="5"/>
      <c r="F51" s="5"/>
    </row>
    <row r="52" spans="5:6" x14ac:dyDescent="0.35">
      <c r="E52" s="5"/>
      <c r="F52" s="5"/>
    </row>
    <row r="53" spans="5:6" x14ac:dyDescent="0.35">
      <c r="E53" s="5"/>
      <c r="F53" s="5"/>
    </row>
    <row r="54" spans="5:6" x14ac:dyDescent="0.35">
      <c r="E54" s="5"/>
      <c r="F54" s="5"/>
    </row>
    <row r="55" spans="5:6" x14ac:dyDescent="0.35">
      <c r="E55" s="5"/>
      <c r="F55" s="5"/>
    </row>
    <row r="56" spans="5:6" x14ac:dyDescent="0.35">
      <c r="E56" s="5"/>
      <c r="F56" s="5"/>
    </row>
    <row r="57" spans="5:6" x14ac:dyDescent="0.35">
      <c r="E57" s="5"/>
      <c r="F57" s="5"/>
    </row>
    <row r="58" spans="5:6" x14ac:dyDescent="0.35">
      <c r="E58" s="5"/>
      <c r="F58" s="5"/>
    </row>
    <row r="59" spans="5:6" x14ac:dyDescent="0.35">
      <c r="E59" s="5"/>
      <c r="F59" s="5"/>
    </row>
    <row r="60" spans="5:6" x14ac:dyDescent="0.35">
      <c r="E60" s="5"/>
      <c r="F60" s="5"/>
    </row>
    <row r="61" spans="5:6" x14ac:dyDescent="0.35">
      <c r="E61" s="5"/>
      <c r="F61" s="5"/>
    </row>
    <row r="62" spans="5:6" x14ac:dyDescent="0.35">
      <c r="E62" s="5"/>
      <c r="F62" s="5"/>
    </row>
    <row r="63" spans="5:6" x14ac:dyDescent="0.35">
      <c r="E63" s="5"/>
      <c r="F63" s="5"/>
    </row>
    <row r="64" spans="5:6" x14ac:dyDescent="0.35">
      <c r="E64" s="5"/>
      <c r="F64" s="5"/>
    </row>
    <row r="65" spans="5:6" x14ac:dyDescent="0.35">
      <c r="E65" s="5"/>
      <c r="F65" s="5"/>
    </row>
    <row r="66" spans="5:6" x14ac:dyDescent="0.35">
      <c r="E66" s="5"/>
      <c r="F66" s="5"/>
    </row>
    <row r="67" spans="5:6" x14ac:dyDescent="0.35">
      <c r="E67" s="5"/>
      <c r="F67" s="5"/>
    </row>
    <row r="68" spans="5:6" x14ac:dyDescent="0.35">
      <c r="E68" s="5"/>
      <c r="F68" s="5"/>
    </row>
    <row r="69" spans="5:6" x14ac:dyDescent="0.35">
      <c r="E69" s="5"/>
      <c r="F69" s="5"/>
    </row>
    <row r="70" spans="5:6" x14ac:dyDescent="0.35">
      <c r="E70" s="5"/>
      <c r="F70" s="5"/>
    </row>
    <row r="71" spans="5:6" x14ac:dyDescent="0.35">
      <c r="E71" s="5"/>
      <c r="F71" s="5"/>
    </row>
    <row r="72" spans="5:6" x14ac:dyDescent="0.35">
      <c r="E72" s="5"/>
      <c r="F72" s="5"/>
    </row>
    <row r="73" spans="5:6" x14ac:dyDescent="0.35">
      <c r="E73" s="5"/>
      <c r="F73" s="5"/>
    </row>
    <row r="74" spans="5:6" x14ac:dyDescent="0.35">
      <c r="E74" s="5"/>
      <c r="F74" s="5"/>
    </row>
    <row r="75" spans="5:6" x14ac:dyDescent="0.35">
      <c r="E75" s="5"/>
      <c r="F75" s="5"/>
    </row>
  </sheetData>
  <conditionalFormatting sqref="C2:E2 A1:XFD1 A76:XFD1048576 A34:A38 C3:C33 D38:E38 A39:E75 G38:XFD75 H16:XFD17 D34:D37 H26:XFD37 BG21:XFD23 P2:XFD9 M10:XFD15 J24:XFD25 J18:XFD20">
    <cfRule type="dataBar" priority="6">
      <dataBar>
        <cfvo type="min"/>
        <cfvo type="max"/>
        <color rgb="FFFFB628"/>
      </dataBar>
      <extLst>
        <ext xmlns:x14="http://schemas.microsoft.com/office/spreadsheetml/2009/9/main" uri="{B025F937-C7B1-47D3-B67F-A62EFF666E3E}">
          <x14:id>{2182072E-1EB8-49CB-AF05-7B6A0C2F7234}</x14:id>
        </ext>
      </extLst>
    </cfRule>
  </conditionalFormatting>
  <conditionalFormatting sqref="G2:I2">
    <cfRule type="dataBar" priority="5">
      <dataBar>
        <cfvo type="min"/>
        <cfvo type="max"/>
        <color rgb="FFFFB628"/>
      </dataBar>
      <extLst>
        <ext xmlns:x14="http://schemas.microsoft.com/office/spreadsheetml/2009/9/main" uri="{B025F937-C7B1-47D3-B67F-A62EFF666E3E}">
          <x14:id>{FAEB1004-A8D1-4F58-A2F5-23B181582A2D}</x14:id>
        </ext>
      </extLst>
    </cfRule>
  </conditionalFormatting>
  <conditionalFormatting sqref="K2:M2">
    <cfRule type="dataBar" priority="4">
      <dataBar>
        <cfvo type="min"/>
        <cfvo type="max"/>
        <color rgb="FFFFB628"/>
      </dataBar>
      <extLst>
        <ext xmlns:x14="http://schemas.microsoft.com/office/spreadsheetml/2009/9/main" uri="{B025F937-C7B1-47D3-B67F-A62EFF666E3E}">
          <x14:id>{18F9C48D-AFE7-471F-9CA8-4CC4A73C195C}</x14:id>
        </ext>
      </extLst>
    </cfRule>
  </conditionalFormatting>
  <conditionalFormatting pivot="1" sqref="L4:M9">
    <cfRule type="containsBlanks" dxfId="1" priority="3">
      <formula>LEN(TRIM(L4))=0</formula>
    </cfRule>
  </conditionalFormatting>
  <conditionalFormatting sqref="G18:I18">
    <cfRule type="dataBar" priority="2">
      <dataBar>
        <cfvo type="min"/>
        <cfvo type="max"/>
        <color rgb="FFFFB628"/>
      </dataBar>
      <extLst>
        <ext xmlns:x14="http://schemas.microsoft.com/office/spreadsheetml/2009/9/main" uri="{B025F937-C7B1-47D3-B67F-A62EFF666E3E}">
          <x14:id>{AD2F5B67-7532-4BF4-8FF2-9355ADFC1D13}</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dataBar" id="{2182072E-1EB8-49CB-AF05-7B6A0C2F7234}">
            <x14:dataBar minLength="0" maxLength="100" border="1" negativeBarBorderColorSameAsPositive="0">
              <x14:cfvo type="autoMin"/>
              <x14:cfvo type="autoMax"/>
              <x14:borderColor rgb="FFFFB628"/>
              <x14:negativeFillColor rgb="FFFF0000"/>
              <x14:negativeBorderColor rgb="FFFF0000"/>
              <x14:axisColor rgb="FF000000"/>
            </x14:dataBar>
          </x14:cfRule>
          <xm:sqref>C2:E2 A1:XFD1 A76:XFD1048576 A34:A38 C3:C33 D38:E38 A39:E75 G38:XFD75 H16:XFD17 D34:D37 H26:XFD37 BG21:XFD23 P2:XFD9 M10:XFD15 J24:XFD25 J18:XFD20</xm:sqref>
        </x14:conditionalFormatting>
        <x14:conditionalFormatting xmlns:xm="http://schemas.microsoft.com/office/excel/2006/main">
          <x14:cfRule type="dataBar" id="{FAEB1004-A8D1-4F58-A2F5-23B181582A2D}">
            <x14:dataBar minLength="0" maxLength="100" border="1" negativeBarBorderColorSameAsPositive="0">
              <x14:cfvo type="autoMin"/>
              <x14:cfvo type="autoMax"/>
              <x14:borderColor rgb="FFFFB628"/>
              <x14:negativeFillColor rgb="FFFF0000"/>
              <x14:negativeBorderColor rgb="FFFF0000"/>
              <x14:axisColor rgb="FF000000"/>
            </x14:dataBar>
          </x14:cfRule>
          <xm:sqref>G2:I2</xm:sqref>
        </x14:conditionalFormatting>
        <x14:conditionalFormatting xmlns:xm="http://schemas.microsoft.com/office/excel/2006/main">
          <x14:cfRule type="dataBar" id="{18F9C48D-AFE7-471F-9CA8-4CC4A73C195C}">
            <x14:dataBar minLength="0" maxLength="100" border="1" negativeBarBorderColorSameAsPositive="0">
              <x14:cfvo type="autoMin"/>
              <x14:cfvo type="autoMax"/>
              <x14:borderColor rgb="FFFFB628"/>
              <x14:negativeFillColor rgb="FFFF0000"/>
              <x14:negativeBorderColor rgb="FFFF0000"/>
              <x14:axisColor rgb="FF000000"/>
            </x14:dataBar>
          </x14:cfRule>
          <xm:sqref>K2:M2</xm:sqref>
        </x14:conditionalFormatting>
        <x14:conditionalFormatting xmlns:xm="http://schemas.microsoft.com/office/excel/2006/main">
          <x14:cfRule type="dataBar" id="{AD2F5B67-7532-4BF4-8FF2-9355ADFC1D13}">
            <x14:dataBar minLength="0" maxLength="100" border="1" negativeBarBorderColorSameAsPositive="0">
              <x14:cfvo type="autoMin"/>
              <x14:cfvo type="autoMax"/>
              <x14:borderColor rgb="FFFFB628"/>
              <x14:negativeFillColor rgb="FFFF0000"/>
              <x14:negativeBorderColor rgb="FFFF0000"/>
              <x14:axisColor rgb="FF000000"/>
            </x14:dataBar>
          </x14:cfRule>
          <xm:sqref>G18:I18</xm:sqref>
        </x14:conditionalFormatting>
      </x14:conditionalFormattings>
    </ex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9. Sales-Data-Analysis</vt:lpstr>
      <vt:lpstr>Sheet8</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5420</dc:creator>
  <cp:lastModifiedBy>Dell 5420</cp:lastModifiedBy>
  <dcterms:modified xsi:type="dcterms:W3CDTF">2026-05-28T04:53:50Z</dcterms:modified>
</cp:coreProperties>
</file>